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E73E61F8-2774-4C98-99FB-30D93D6296CA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" i="1" l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M12" i="1"/>
  <c r="K13" i="1"/>
  <c r="L13" i="1"/>
  <c r="M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M19" i="1"/>
  <c r="K20" i="1"/>
  <c r="L20" i="1"/>
  <c r="M20" i="1"/>
  <c r="K21" i="1"/>
  <c r="L21" i="1"/>
  <c r="M21" i="1"/>
  <c r="K22" i="1"/>
  <c r="L22" i="1"/>
  <c r="M22" i="1"/>
  <c r="K23" i="1"/>
  <c r="L23" i="1"/>
  <c r="M23" i="1"/>
  <c r="K24" i="1"/>
  <c r="L24" i="1"/>
  <c r="M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L7" i="1"/>
  <c r="M7" i="1"/>
  <c r="K7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2" i="1"/>
  <c r="H32" i="1"/>
  <c r="I32" i="1"/>
  <c r="G33" i="1"/>
  <c r="H33" i="1"/>
  <c r="I33" i="1"/>
  <c r="G34" i="1"/>
  <c r="H34" i="1"/>
  <c r="I34" i="1"/>
  <c r="G35" i="1"/>
  <c r="H35" i="1"/>
  <c r="I35" i="1"/>
  <c r="G36" i="1"/>
  <c r="H36" i="1"/>
  <c r="I36" i="1"/>
  <c r="H7" i="1"/>
  <c r="I7" i="1"/>
  <c r="G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7" i="1"/>
</calcChain>
</file>

<file path=xl/sharedStrings.xml><?xml version="1.0" encoding="utf-8"?>
<sst xmlns="http://schemas.openxmlformats.org/spreadsheetml/2006/main" count="47" uniqueCount="43">
  <si>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</si>
  <si>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</si>
  <si>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</si>
  <si>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</si>
  <si>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</si>
  <si>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</si>
  <si>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</si>
  <si>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</si>
  <si>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</si>
  <si>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</si>
  <si>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</si>
  <si>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</si>
  <si>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</si>
  <si>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</si>
  <si>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</si>
  <si>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</si>
  <si>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</si>
  <si>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</si>
  <si>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</si>
  <si>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</si>
  <si>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</si>
  <si>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</si>
  <si>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</si>
  <si>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</si>
  <si>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</si>
  <si>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</si>
  <si>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</si>
  <si>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</si>
  <si>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</si>
  <si>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</si>
  <si>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</si>
  <si>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</si>
  <si>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</si>
  <si>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</si>
  <si>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3.6 - 2.4</t>
    <phoneticPr fontId="1" type="noConversion"/>
  </si>
  <si>
    <t>3 - 2</t>
    <phoneticPr fontId="1" type="noConversion"/>
  </si>
  <si>
    <t>JSTG（暂定数据，未实现）</t>
    <phoneticPr fontId="1" type="noConversion"/>
  </si>
  <si>
    <t>JSTG与弹幕引擎的差异</t>
    <phoneticPr fontId="1" type="noConversion"/>
  </si>
  <si>
    <t>对自机判定</t>
    <phoneticPr fontId="1" type="noConversion"/>
  </si>
  <si>
    <t>2.4 - 1.4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</si>
  <si>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</si>
  <si>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</si>
  <si>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JSTG中：使用相交圆判定，普通自机2判，瘦子1.4判（暂定计划，未实现）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</si>
</sst>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>
      <alignment vertical="center"/>
    </xf>
    <xf numFmtId="181" fontId="0" fillId="0" borderId="0" xfId="0" applyNumberFormat="1" applyBorder="1" applyAlignment="1">
      <alignment horizontal="left" vertical="center"/>
    </xf>
    <xf numFmtId="49" fontId="0" fillId="0" borderId="0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181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81" fontId="0" fillId="0" borderId="4" xfId="0" applyNumberForma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N40"/>
  <sheetViews>
    <sheetView tabSelected="1" workbookViewId="0">
      <selection activeCell="A2" sqref="A2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7.625" customWidth="1"/>
    <col min="11" max="13" width="10" customWidth="1"/>
    <col min="14" max="14" width="40.375" customWidth="1"/>
  </cols>
  <sheetData>
    <row r="1" spans="1:14" x14ac:dyDescent="0.2">
      <c r="A1" s="1" t="s">
        <v>41</v>
      </c>
      <c r="B1" s="1"/>
      <c r="C1" s="1"/>
      <c r="D1" s="1"/>
      <c r="E1" s="1"/>
    </row>
    <row r="2" spans="1:14" x14ac:dyDescent="0.2">
      <c r="A2" s="1" t="s">
        <v>42</v>
      </c>
    </row>
    <row r="3" spans="1:14" ht="15" thickBot="1" x14ac:dyDescent="0.25"/>
    <row r="4" spans="1:14" x14ac:dyDescent="0.2">
      <c r="B4" s="6" t="s">
        <v>0</v>
      </c>
      <c r="C4" s="7"/>
      <c r="D4" s="7"/>
      <c r="E4" s="7"/>
      <c r="F4" s="6" t="s">
        <v>36</v>
      </c>
      <c r="G4" s="7"/>
      <c r="H4" s="7"/>
      <c r="I4" s="8"/>
      <c r="J4" s="6" t="s">
        <v>37</v>
      </c>
      <c r="K4" s="7"/>
      <c r="L4" s="7"/>
      <c r="M4" s="8"/>
      <c r="N4" t="s">
        <v>2</v>
      </c>
    </row>
    <row r="5" spans="1:14" x14ac:dyDescent="0.2">
      <c r="B5" s="9" t="s">
        <v>33</v>
      </c>
      <c r="C5" s="2" t="s">
        <v>38</v>
      </c>
      <c r="D5" s="2"/>
      <c r="E5" s="2"/>
      <c r="F5" s="9" t="s">
        <v>33</v>
      </c>
      <c r="G5" s="2" t="s">
        <v>38</v>
      </c>
      <c r="H5" s="2"/>
      <c r="I5" s="16"/>
      <c r="J5" s="17" t="s">
        <v>33</v>
      </c>
      <c r="K5" s="2" t="s">
        <v>38</v>
      </c>
      <c r="L5" s="2"/>
      <c r="M5" s="16"/>
    </row>
    <row r="6" spans="1:14" x14ac:dyDescent="0.2">
      <c r="A6" t="s">
        <v>1</v>
      </c>
      <c r="B6" s="9"/>
      <c r="C6" s="3">
        <v>3.6</v>
      </c>
      <c r="D6" s="3">
        <v>3</v>
      </c>
      <c r="E6" s="3">
        <v>2</v>
      </c>
      <c r="F6" s="9"/>
      <c r="G6" s="3">
        <v>2.4</v>
      </c>
      <c r="H6" s="3">
        <v>2</v>
      </c>
      <c r="I6" s="10">
        <v>1.4</v>
      </c>
      <c r="J6" s="17"/>
      <c r="K6" s="5" t="s">
        <v>34</v>
      </c>
      <c r="L6" s="5" t="s">
        <v>35</v>
      </c>
      <c r="M6" s="19" t="s">
        <v>39</v>
      </c>
    </row>
    <row r="7" spans="1:14" x14ac:dyDescent="0.2">
      <c r="A7" t="s">
        <v>3</v>
      </c>
      <c r="B7" s="11">
        <v>4</v>
      </c>
      <c r="C7" s="4">
        <f>SQRT(SUMSQ($B7,C$6))</f>
        <v>5.3814496188294845</v>
      </c>
      <c r="D7" s="4">
        <f t="shared" ref="D7:E7" si="0">SQRT(SUMSQ($B7,D$6))</f>
        <v>5</v>
      </c>
      <c r="E7" s="4">
        <f t="shared" si="0"/>
        <v>4.4721359549995796</v>
      </c>
      <c r="F7" s="11">
        <v>3</v>
      </c>
      <c r="G7" s="4">
        <f>$F7+G$6</f>
        <v>5.4</v>
      </c>
      <c r="H7" s="4">
        <f t="shared" ref="H7:I22" si="1">$F7+H$6</f>
        <v>5</v>
      </c>
      <c r="I7" s="18">
        <f t="shared" si="1"/>
        <v>4.4000000000000004</v>
      </c>
      <c r="J7" s="20">
        <f>$F7-$B7</f>
        <v>-1</v>
      </c>
      <c r="K7" s="4">
        <f>$F7+G$6-SQRT(SUMSQ($B7,C$6))</f>
        <v>1.8550381170515884E-2</v>
      </c>
      <c r="L7" s="4">
        <f>$F7+H$6-SQRT(SUMSQ($B7,D$6))</f>
        <v>0</v>
      </c>
      <c r="M7" s="18">
        <f>$F7+I$6-SQRT(SUMSQ($B7,E$6))</f>
        <v>-7.2135954999579255E-2</v>
      </c>
    </row>
    <row r="8" spans="1:14" x14ac:dyDescent="0.2">
      <c r="A8" t="s">
        <v>4</v>
      </c>
      <c r="B8" s="11">
        <v>4</v>
      </c>
      <c r="C8" s="4">
        <f t="shared" ref="C8:E35" si="2">SQRT(SUMSQ($B8,C$6))</f>
        <v>5.3814496188294845</v>
      </c>
      <c r="D8" s="4">
        <f t="shared" si="2"/>
        <v>5</v>
      </c>
      <c r="E8" s="4">
        <f t="shared" si="2"/>
        <v>4.4721359549995796</v>
      </c>
      <c r="F8" s="11">
        <v>3</v>
      </c>
      <c r="G8" s="4">
        <f t="shared" ref="G8:I36" si="3">$F8+G$6</f>
        <v>5.4</v>
      </c>
      <c r="H8" s="4">
        <f t="shared" si="1"/>
        <v>5</v>
      </c>
      <c r="I8" s="18">
        <f t="shared" si="1"/>
        <v>4.4000000000000004</v>
      </c>
      <c r="J8" s="20">
        <f>$F8-$B8</f>
        <v>-1</v>
      </c>
      <c r="K8" s="4">
        <f>$F8+G$6-SQRT(SUMSQ($B8,C$6))</f>
        <v>1.8550381170515884E-2</v>
      </c>
      <c r="L8" s="4">
        <f>$F8+H$6-SQRT(SUMSQ($B8,D$6))</f>
        <v>0</v>
      </c>
      <c r="M8" s="18">
        <f>$F8+I$6-SQRT(SUMSQ($B8,E$6))</f>
        <v>-7.2135954999579255E-2</v>
      </c>
    </row>
    <row r="9" spans="1:14" x14ac:dyDescent="0.2">
      <c r="A9" t="s">
        <v>5</v>
      </c>
      <c r="B9" s="11">
        <v>4</v>
      </c>
      <c r="C9" s="4">
        <f t="shared" si="2"/>
        <v>5.3814496188294845</v>
      </c>
      <c r="D9" s="4">
        <f t="shared" si="2"/>
        <v>5</v>
      </c>
      <c r="E9" s="4">
        <f t="shared" si="2"/>
        <v>4.4721359549995796</v>
      </c>
      <c r="F9" s="11">
        <v>3</v>
      </c>
      <c r="G9" s="4">
        <f t="shared" si="3"/>
        <v>5.4</v>
      </c>
      <c r="H9" s="4">
        <f t="shared" si="1"/>
        <v>5</v>
      </c>
      <c r="I9" s="18">
        <f t="shared" si="1"/>
        <v>4.4000000000000004</v>
      </c>
      <c r="J9" s="20">
        <f>$F9-$B9</f>
        <v>-1</v>
      </c>
      <c r="K9" s="4">
        <f>$F9+G$6-SQRT(SUMSQ($B9,C$6))</f>
        <v>1.8550381170515884E-2</v>
      </c>
      <c r="L9" s="4">
        <f>$F9+H$6-SQRT(SUMSQ($B9,D$6))</f>
        <v>0</v>
      </c>
      <c r="M9" s="18">
        <f>$F9+I$6-SQRT(SUMSQ($B9,E$6))</f>
        <v>-7.2135954999579255E-2</v>
      </c>
    </row>
    <row r="10" spans="1:14" x14ac:dyDescent="0.2">
      <c r="A10" t="s">
        <v>6</v>
      </c>
      <c r="B10" s="11">
        <v>4</v>
      </c>
      <c r="C10" s="4">
        <f t="shared" si="2"/>
        <v>5.3814496188294845</v>
      </c>
      <c r="D10" s="4">
        <f t="shared" si="2"/>
        <v>5</v>
      </c>
      <c r="E10" s="4">
        <f t="shared" si="2"/>
        <v>4.4721359549995796</v>
      </c>
      <c r="F10" s="11">
        <v>3</v>
      </c>
      <c r="G10" s="4">
        <f t="shared" si="3"/>
        <v>5.4</v>
      </c>
      <c r="H10" s="4">
        <f t="shared" si="1"/>
        <v>5</v>
      </c>
      <c r="I10" s="18">
        <f t="shared" si="1"/>
        <v>4.4000000000000004</v>
      </c>
      <c r="J10" s="20">
        <f>$F10-$B10</f>
        <v>-1</v>
      </c>
      <c r="K10" s="4">
        <f>$F10+G$6-SQRT(SUMSQ($B10,C$6))</f>
        <v>1.8550381170515884E-2</v>
      </c>
      <c r="L10" s="4">
        <f>$F10+H$6-SQRT(SUMSQ($B10,D$6))</f>
        <v>0</v>
      </c>
      <c r="M10" s="18">
        <f>$F10+I$6-SQRT(SUMSQ($B10,E$6))</f>
        <v>-7.2135954999579255E-2</v>
      </c>
    </row>
    <row r="11" spans="1:14" x14ac:dyDescent="0.2">
      <c r="A11" t="s">
        <v>7</v>
      </c>
      <c r="B11" s="11">
        <v>2.4</v>
      </c>
      <c r="C11" s="4">
        <f t="shared" si="2"/>
        <v>4.3266615305567866</v>
      </c>
      <c r="D11" s="4">
        <f t="shared" si="2"/>
        <v>3.8418745424597094</v>
      </c>
      <c r="E11" s="4">
        <f t="shared" si="2"/>
        <v>3.1240998703626617</v>
      </c>
      <c r="F11" s="11">
        <v>1.8</v>
      </c>
      <c r="G11" s="4">
        <f t="shared" si="3"/>
        <v>4.2</v>
      </c>
      <c r="H11" s="4">
        <f t="shared" si="1"/>
        <v>3.8</v>
      </c>
      <c r="I11" s="18">
        <f t="shared" si="1"/>
        <v>3.2</v>
      </c>
      <c r="J11" s="20">
        <f>$F11-$B11</f>
        <v>-0.59999999999999987</v>
      </c>
      <c r="K11" s="4">
        <f>$F11+G$6-SQRT(SUMSQ($B11,C$6))</f>
        <v>-0.12666153055678642</v>
      </c>
      <c r="L11" s="4">
        <f>$F11+H$6-SQRT(SUMSQ($B11,D$6))</f>
        <v>-4.1874542459709563E-2</v>
      </c>
      <c r="M11" s="18">
        <f>$F11+I$6-SQRT(SUMSQ($B11,E$6))</f>
        <v>7.5900129637338498E-2</v>
      </c>
    </row>
    <row r="12" spans="1:14" x14ac:dyDescent="0.2">
      <c r="A12" t="s">
        <v>8</v>
      </c>
      <c r="B12" s="11">
        <v>3</v>
      </c>
      <c r="C12" s="4">
        <f t="shared" si="2"/>
        <v>4.6861498055439927</v>
      </c>
      <c r="D12" s="4">
        <f t="shared" si="2"/>
        <v>4.2426406871192848</v>
      </c>
      <c r="E12" s="4">
        <f t="shared" si="2"/>
        <v>3.6055512754639891</v>
      </c>
      <c r="F12" s="11">
        <v>2.25</v>
      </c>
      <c r="G12" s="4">
        <f t="shared" si="3"/>
        <v>4.6500000000000004</v>
      </c>
      <c r="H12" s="4">
        <f t="shared" si="1"/>
        <v>4.25</v>
      </c>
      <c r="I12" s="18">
        <f t="shared" si="1"/>
        <v>3.65</v>
      </c>
      <c r="J12" s="20">
        <f>$F12-$B12</f>
        <v>-0.75</v>
      </c>
      <c r="K12" s="4">
        <f>$F12+G$6-SQRT(SUMSQ($B12,C$6))</f>
        <v>-3.6149805543992386E-2</v>
      </c>
      <c r="L12" s="4">
        <f>$F12+H$6-SQRT(SUMSQ($B12,D$6))</f>
        <v>7.3593128807152297E-3</v>
      </c>
      <c r="M12" s="18">
        <f>$F12+I$6-SQRT(SUMSQ($B12,E$6))</f>
        <v>4.4448724536010786E-2</v>
      </c>
    </row>
    <row r="13" spans="1:14" x14ac:dyDescent="0.2">
      <c r="A13" t="s">
        <v>9</v>
      </c>
      <c r="B13" s="11">
        <v>3</v>
      </c>
      <c r="C13" s="4">
        <f t="shared" si="2"/>
        <v>4.6861498055439927</v>
      </c>
      <c r="D13" s="4">
        <f t="shared" si="2"/>
        <v>4.2426406871192848</v>
      </c>
      <c r="E13" s="4">
        <f t="shared" si="2"/>
        <v>3.6055512754639891</v>
      </c>
      <c r="F13" s="11">
        <v>2.25</v>
      </c>
      <c r="G13" s="4">
        <f t="shared" si="3"/>
        <v>4.6500000000000004</v>
      </c>
      <c r="H13" s="4">
        <f t="shared" si="1"/>
        <v>4.25</v>
      </c>
      <c r="I13" s="18">
        <f t="shared" si="1"/>
        <v>3.65</v>
      </c>
      <c r="J13" s="20">
        <f>$F13-$B13</f>
        <v>-0.75</v>
      </c>
      <c r="K13" s="4">
        <f>$F13+G$6-SQRT(SUMSQ($B13,C$6))</f>
        <v>-3.6149805543992386E-2</v>
      </c>
      <c r="L13" s="4">
        <f>$F13+H$6-SQRT(SUMSQ($B13,D$6))</f>
        <v>7.3593128807152297E-3</v>
      </c>
      <c r="M13" s="18">
        <f>$F13+I$6-SQRT(SUMSQ($B13,E$6))</f>
        <v>4.4448724536010786E-2</v>
      </c>
    </row>
    <row r="14" spans="1:14" x14ac:dyDescent="0.2">
      <c r="A14" t="s">
        <v>10</v>
      </c>
      <c r="B14" s="11">
        <v>3</v>
      </c>
      <c r="C14" s="4">
        <f t="shared" si="2"/>
        <v>4.6861498055439927</v>
      </c>
      <c r="D14" s="4">
        <f t="shared" si="2"/>
        <v>4.2426406871192848</v>
      </c>
      <c r="E14" s="4">
        <f t="shared" si="2"/>
        <v>3.6055512754639891</v>
      </c>
      <c r="F14" s="11">
        <v>2.25</v>
      </c>
      <c r="G14" s="4">
        <f t="shared" si="3"/>
        <v>4.6500000000000004</v>
      </c>
      <c r="H14" s="4">
        <f t="shared" si="1"/>
        <v>4.25</v>
      </c>
      <c r="I14" s="18">
        <f t="shared" si="1"/>
        <v>3.65</v>
      </c>
      <c r="J14" s="20">
        <f>$F14-$B14</f>
        <v>-0.75</v>
      </c>
      <c r="K14" s="4">
        <f>$F14+G$6-SQRT(SUMSQ($B14,C$6))</f>
        <v>-3.6149805543992386E-2</v>
      </c>
      <c r="L14" s="4">
        <f>$F14+H$6-SQRT(SUMSQ($B14,D$6))</f>
        <v>7.3593128807152297E-3</v>
      </c>
      <c r="M14" s="18">
        <f>$F14+I$6-SQRT(SUMSQ($B14,E$6))</f>
        <v>4.4448724536010786E-2</v>
      </c>
    </row>
    <row r="15" spans="1:14" x14ac:dyDescent="0.2">
      <c r="A15" t="s">
        <v>11</v>
      </c>
      <c r="B15" s="11">
        <v>3</v>
      </c>
      <c r="C15" s="4">
        <f t="shared" si="2"/>
        <v>4.6861498055439927</v>
      </c>
      <c r="D15" s="4">
        <f t="shared" si="2"/>
        <v>4.2426406871192848</v>
      </c>
      <c r="E15" s="4">
        <f t="shared" si="2"/>
        <v>3.6055512754639891</v>
      </c>
      <c r="F15" s="11">
        <v>2.25</v>
      </c>
      <c r="G15" s="4">
        <f t="shared" si="3"/>
        <v>4.6500000000000004</v>
      </c>
      <c r="H15" s="4">
        <f t="shared" si="1"/>
        <v>4.25</v>
      </c>
      <c r="I15" s="18">
        <f t="shared" si="1"/>
        <v>3.65</v>
      </c>
      <c r="J15" s="20">
        <f>$F15-$B15</f>
        <v>-0.75</v>
      </c>
      <c r="K15" s="4">
        <f>$F15+G$6-SQRT(SUMSQ($B15,C$6))</f>
        <v>-3.6149805543992386E-2</v>
      </c>
      <c r="L15" s="4">
        <f>$F15+H$6-SQRT(SUMSQ($B15,D$6))</f>
        <v>7.3593128807152297E-3</v>
      </c>
      <c r="M15" s="18">
        <f>$F15+I$6-SQRT(SUMSQ($B15,E$6))</f>
        <v>4.4448724536010786E-2</v>
      </c>
    </row>
    <row r="16" spans="1:14" x14ac:dyDescent="0.2">
      <c r="A16" t="s">
        <v>12</v>
      </c>
      <c r="B16" s="11">
        <v>3</v>
      </c>
      <c r="C16" s="4">
        <f t="shared" si="2"/>
        <v>4.6861498055439927</v>
      </c>
      <c r="D16" s="4">
        <f t="shared" si="2"/>
        <v>4.2426406871192848</v>
      </c>
      <c r="E16" s="4">
        <f t="shared" si="2"/>
        <v>3.6055512754639891</v>
      </c>
      <c r="F16" s="11">
        <v>2.25</v>
      </c>
      <c r="G16" s="4">
        <f t="shared" si="3"/>
        <v>4.6500000000000004</v>
      </c>
      <c r="H16" s="4">
        <f t="shared" si="1"/>
        <v>4.25</v>
      </c>
      <c r="I16" s="18">
        <f t="shared" si="1"/>
        <v>3.65</v>
      </c>
      <c r="J16" s="20">
        <f>$F16-$B16</f>
        <v>-0.75</v>
      </c>
      <c r="K16" s="4">
        <f>$F16+G$6-SQRT(SUMSQ($B16,C$6))</f>
        <v>-3.6149805543992386E-2</v>
      </c>
      <c r="L16" s="4">
        <f>$F16+H$6-SQRT(SUMSQ($B16,D$6))</f>
        <v>7.3593128807152297E-3</v>
      </c>
      <c r="M16" s="18">
        <f>$F16+I$6-SQRT(SUMSQ($B16,E$6))</f>
        <v>4.4448724536010786E-2</v>
      </c>
    </row>
    <row r="17" spans="1:13" x14ac:dyDescent="0.2">
      <c r="A17" t="s">
        <v>13</v>
      </c>
      <c r="B17" s="11">
        <v>3</v>
      </c>
      <c r="C17" s="4">
        <f t="shared" si="2"/>
        <v>4.6861498055439927</v>
      </c>
      <c r="D17" s="4">
        <f t="shared" si="2"/>
        <v>4.2426406871192848</v>
      </c>
      <c r="E17" s="4">
        <f t="shared" si="2"/>
        <v>3.6055512754639891</v>
      </c>
      <c r="F17" s="11">
        <v>2.25</v>
      </c>
      <c r="G17" s="4">
        <f t="shared" si="3"/>
        <v>4.6500000000000004</v>
      </c>
      <c r="H17" s="4">
        <f t="shared" si="1"/>
        <v>4.25</v>
      </c>
      <c r="I17" s="18">
        <f t="shared" si="1"/>
        <v>3.65</v>
      </c>
      <c r="J17" s="20">
        <f>$F17-$B17</f>
        <v>-0.75</v>
      </c>
      <c r="K17" s="4">
        <f>$F17+G$6-SQRT(SUMSQ($B17,C$6))</f>
        <v>-3.6149805543992386E-2</v>
      </c>
      <c r="L17" s="4">
        <f>$F17+H$6-SQRT(SUMSQ($B17,D$6))</f>
        <v>7.3593128807152297E-3</v>
      </c>
      <c r="M17" s="18">
        <f>$F17+I$6-SQRT(SUMSQ($B17,E$6))</f>
        <v>4.4448724536010786E-2</v>
      </c>
    </row>
    <row r="18" spans="1:13" x14ac:dyDescent="0.2">
      <c r="A18" t="s">
        <v>14</v>
      </c>
      <c r="B18" s="11">
        <v>3.2</v>
      </c>
      <c r="C18" s="4">
        <f t="shared" si="2"/>
        <v>4.8166378315169185</v>
      </c>
      <c r="D18" s="4">
        <f t="shared" si="2"/>
        <v>4.3863424398922621</v>
      </c>
      <c r="E18" s="4">
        <f t="shared" si="2"/>
        <v>3.7735924528226419</v>
      </c>
      <c r="F18" s="11">
        <v>2.4</v>
      </c>
      <c r="G18" s="4">
        <f t="shared" si="3"/>
        <v>4.8</v>
      </c>
      <c r="H18" s="4">
        <f t="shared" si="1"/>
        <v>4.4000000000000004</v>
      </c>
      <c r="I18" s="18">
        <f t="shared" si="1"/>
        <v>3.8</v>
      </c>
      <c r="J18" s="20">
        <f>$F18-$B18</f>
        <v>-0.80000000000000027</v>
      </c>
      <c r="K18" s="4">
        <f>$F18+G$6-SQRT(SUMSQ($B18,C$6))</f>
        <v>-1.6637831516918666E-2</v>
      </c>
      <c r="L18" s="4">
        <f>$F18+H$6-SQRT(SUMSQ($B18,D$6))</f>
        <v>1.365756010773822E-2</v>
      </c>
      <c r="M18" s="18">
        <f>$F18+I$6-SQRT(SUMSQ($B18,E$6))</f>
        <v>2.6407547177357937E-2</v>
      </c>
    </row>
    <row r="19" spans="1:13" x14ac:dyDescent="0.2">
      <c r="A19" t="s">
        <v>15</v>
      </c>
      <c r="B19" s="11">
        <v>4</v>
      </c>
      <c r="C19" s="4">
        <f t="shared" si="2"/>
        <v>5.3814496188294845</v>
      </c>
      <c r="D19" s="4">
        <f t="shared" si="2"/>
        <v>5</v>
      </c>
      <c r="E19" s="4">
        <f t="shared" si="2"/>
        <v>4.4721359549995796</v>
      </c>
      <c r="F19" s="11">
        <v>3</v>
      </c>
      <c r="G19" s="4">
        <f t="shared" si="3"/>
        <v>5.4</v>
      </c>
      <c r="H19" s="4">
        <f t="shared" si="1"/>
        <v>5</v>
      </c>
      <c r="I19" s="18">
        <f t="shared" si="1"/>
        <v>4.4000000000000004</v>
      </c>
      <c r="J19" s="20">
        <f>$F19-$B19</f>
        <v>-1</v>
      </c>
      <c r="K19" s="4">
        <f>$F19+G$6-SQRT(SUMSQ($B19,C$6))</f>
        <v>1.8550381170515884E-2</v>
      </c>
      <c r="L19" s="4">
        <f>$F19+H$6-SQRT(SUMSQ($B19,D$6))</f>
        <v>0</v>
      </c>
      <c r="M19" s="18">
        <f>$F19+I$6-SQRT(SUMSQ($B19,E$6))</f>
        <v>-7.2135954999579255E-2</v>
      </c>
    </row>
    <row r="20" spans="1:13" x14ac:dyDescent="0.2">
      <c r="A20" t="s">
        <v>16</v>
      </c>
      <c r="B20" s="11">
        <v>4</v>
      </c>
      <c r="C20" s="4">
        <f t="shared" si="2"/>
        <v>5.3814496188294845</v>
      </c>
      <c r="D20" s="4">
        <f t="shared" si="2"/>
        <v>5</v>
      </c>
      <c r="E20" s="4">
        <f t="shared" si="2"/>
        <v>4.4721359549995796</v>
      </c>
      <c r="F20" s="11">
        <v>3</v>
      </c>
      <c r="G20" s="4">
        <f t="shared" si="3"/>
        <v>5.4</v>
      </c>
      <c r="H20" s="4">
        <f t="shared" si="1"/>
        <v>5</v>
      </c>
      <c r="I20" s="18">
        <f t="shared" si="1"/>
        <v>4.4000000000000004</v>
      </c>
      <c r="J20" s="20">
        <f>$F20-$B20</f>
        <v>-1</v>
      </c>
      <c r="K20" s="4">
        <f>$F20+G$6-SQRT(SUMSQ($B20,C$6))</f>
        <v>1.8550381170515884E-2</v>
      </c>
      <c r="L20" s="4">
        <f>$F20+H$6-SQRT(SUMSQ($B20,D$6))</f>
        <v>0</v>
      </c>
      <c r="M20" s="18">
        <f>$F20+I$6-SQRT(SUMSQ($B20,E$6))</f>
        <v>-7.2135954999579255E-2</v>
      </c>
    </row>
    <row r="21" spans="1:13" x14ac:dyDescent="0.2">
      <c r="A21" t="s">
        <v>17</v>
      </c>
      <c r="B21" s="11">
        <v>4</v>
      </c>
      <c r="C21" s="4">
        <f t="shared" si="2"/>
        <v>5.3814496188294845</v>
      </c>
      <c r="D21" s="4">
        <f t="shared" si="2"/>
        <v>5</v>
      </c>
      <c r="E21" s="4">
        <f t="shared" si="2"/>
        <v>4.4721359549995796</v>
      </c>
      <c r="F21" s="11">
        <v>3</v>
      </c>
      <c r="G21" s="4">
        <f t="shared" si="3"/>
        <v>5.4</v>
      </c>
      <c r="H21" s="4">
        <f t="shared" si="1"/>
        <v>5</v>
      </c>
      <c r="I21" s="18">
        <f t="shared" si="1"/>
        <v>4.4000000000000004</v>
      </c>
      <c r="J21" s="20">
        <f>$F21-$B21</f>
        <v>-1</v>
      </c>
      <c r="K21" s="4">
        <f>$F21+G$6-SQRT(SUMSQ($B21,C$6))</f>
        <v>1.8550381170515884E-2</v>
      </c>
      <c r="L21" s="4">
        <f>$F21+H$6-SQRT(SUMSQ($B21,D$6))</f>
        <v>0</v>
      </c>
      <c r="M21" s="18">
        <f>$F21+I$6-SQRT(SUMSQ($B21,E$6))</f>
        <v>-7.2135954999579255E-2</v>
      </c>
    </row>
    <row r="22" spans="1:13" x14ac:dyDescent="0.2">
      <c r="A22" t="s">
        <v>18</v>
      </c>
      <c r="B22" s="11">
        <v>4</v>
      </c>
      <c r="C22" s="4">
        <f t="shared" si="2"/>
        <v>5.3814496188294845</v>
      </c>
      <c r="D22" s="4">
        <f t="shared" si="2"/>
        <v>5</v>
      </c>
      <c r="E22" s="4">
        <f t="shared" si="2"/>
        <v>4.4721359549995796</v>
      </c>
      <c r="F22" s="11">
        <v>3</v>
      </c>
      <c r="G22" s="4">
        <f t="shared" si="3"/>
        <v>5.4</v>
      </c>
      <c r="H22" s="4">
        <f t="shared" si="1"/>
        <v>5</v>
      </c>
      <c r="I22" s="18">
        <f t="shared" si="1"/>
        <v>4.4000000000000004</v>
      </c>
      <c r="J22" s="20">
        <f>$F22-$B22</f>
        <v>-1</v>
      </c>
      <c r="K22" s="4">
        <f>$F22+G$6-SQRT(SUMSQ($B22,C$6))</f>
        <v>1.8550381170515884E-2</v>
      </c>
      <c r="L22" s="4">
        <f>$F22+H$6-SQRT(SUMSQ($B22,D$6))</f>
        <v>0</v>
      </c>
      <c r="M22" s="18">
        <f>$F22+I$6-SQRT(SUMSQ($B22,E$6))</f>
        <v>-7.2135954999579255E-2</v>
      </c>
    </row>
    <row r="23" spans="1:13" x14ac:dyDescent="0.2">
      <c r="A23" t="s">
        <v>19</v>
      </c>
      <c r="B23" s="11">
        <v>8</v>
      </c>
      <c r="C23" s="4">
        <f t="shared" si="2"/>
        <v>8.7726848797845243</v>
      </c>
      <c r="D23" s="4">
        <f t="shared" si="2"/>
        <v>8.5440037453175304</v>
      </c>
      <c r="E23" s="4">
        <f t="shared" si="2"/>
        <v>8.2462112512353212</v>
      </c>
      <c r="F23" s="11">
        <v>6.5</v>
      </c>
      <c r="G23" s="4">
        <f t="shared" si="3"/>
        <v>8.9</v>
      </c>
      <c r="H23" s="4">
        <f t="shared" si="3"/>
        <v>8.5</v>
      </c>
      <c r="I23" s="18">
        <f t="shared" si="3"/>
        <v>7.9</v>
      </c>
      <c r="J23" s="20">
        <f>$F23-$B23</f>
        <v>-1.5</v>
      </c>
      <c r="K23" s="4">
        <f>$F23+G$6-SQRT(SUMSQ($B23,C$6))</f>
        <v>0.12731512021547609</v>
      </c>
      <c r="L23" s="4">
        <f>$F23+H$6-SQRT(SUMSQ($B23,D$6))</f>
        <v>-4.4003745317530374E-2</v>
      </c>
      <c r="M23" s="18">
        <f>$F23+I$6-SQRT(SUMSQ($B23,E$6))</f>
        <v>-0.34621125123532082</v>
      </c>
    </row>
    <row r="24" spans="1:13" x14ac:dyDescent="0.2">
      <c r="A24" t="s">
        <v>20</v>
      </c>
      <c r="B24" s="11">
        <v>5</v>
      </c>
      <c r="C24" s="4">
        <f t="shared" si="2"/>
        <v>6.1611687202997452</v>
      </c>
      <c r="D24" s="4">
        <f t="shared" si="2"/>
        <v>5.8309518948453007</v>
      </c>
      <c r="E24" s="4">
        <f t="shared" si="2"/>
        <v>5.3851648071345037</v>
      </c>
      <c r="F24" s="11">
        <v>3.8</v>
      </c>
      <c r="G24" s="4">
        <f t="shared" si="3"/>
        <v>6.1999999999999993</v>
      </c>
      <c r="H24" s="4">
        <f t="shared" si="3"/>
        <v>5.8</v>
      </c>
      <c r="I24" s="18">
        <f t="shared" si="3"/>
        <v>5.1999999999999993</v>
      </c>
      <c r="J24" s="20">
        <f>$F24-$B24</f>
        <v>-1.2000000000000002</v>
      </c>
      <c r="K24" s="4">
        <f>$F24+G$6-SQRT(SUMSQ($B24,C$6))</f>
        <v>3.8831279700254129E-2</v>
      </c>
      <c r="L24" s="4">
        <f>$F24+H$6-SQRT(SUMSQ($B24,D$6))</f>
        <v>-3.095189484530092E-2</v>
      </c>
      <c r="M24" s="18">
        <f>$F24+I$6-SQRT(SUMSQ($B24,E$6))</f>
        <v>-0.18516480713450445</v>
      </c>
    </row>
    <row r="25" spans="1:13" x14ac:dyDescent="0.2">
      <c r="A25" t="s">
        <v>21</v>
      </c>
      <c r="B25" s="11">
        <v>8</v>
      </c>
      <c r="C25" s="4">
        <f t="shared" si="2"/>
        <v>8.7726848797845243</v>
      </c>
      <c r="D25" s="4">
        <f t="shared" si="2"/>
        <v>8.5440037453175304</v>
      </c>
      <c r="E25" s="4">
        <f t="shared" si="2"/>
        <v>8.2462112512353212</v>
      </c>
      <c r="F25" s="11">
        <v>6.5</v>
      </c>
      <c r="G25" s="4">
        <f t="shared" si="3"/>
        <v>8.9</v>
      </c>
      <c r="H25" s="4">
        <f t="shared" si="3"/>
        <v>8.5</v>
      </c>
      <c r="I25" s="18">
        <f t="shared" si="3"/>
        <v>7.9</v>
      </c>
      <c r="J25" s="20">
        <f>$F25-$B25</f>
        <v>-1.5</v>
      </c>
      <c r="K25" s="4">
        <f>$F25+G$6-SQRT(SUMSQ($B25,C$6))</f>
        <v>0.12731512021547609</v>
      </c>
      <c r="L25" s="4">
        <f>$F25+H$6-SQRT(SUMSQ($B25,D$6))</f>
        <v>-4.4003745317530374E-2</v>
      </c>
      <c r="M25" s="18">
        <f>$F25+I$6-SQRT(SUMSQ($B25,E$6))</f>
        <v>-0.34621125123532082</v>
      </c>
    </row>
    <row r="26" spans="1:13" x14ac:dyDescent="0.2">
      <c r="A26" t="s">
        <v>22</v>
      </c>
      <c r="B26" s="11">
        <v>8</v>
      </c>
      <c r="C26" s="4">
        <f t="shared" si="2"/>
        <v>8.7726848797845243</v>
      </c>
      <c r="D26" s="4">
        <f t="shared" si="2"/>
        <v>8.5440037453175304</v>
      </c>
      <c r="E26" s="4">
        <f t="shared" si="2"/>
        <v>8.2462112512353212</v>
      </c>
      <c r="F26" s="11">
        <v>6.5</v>
      </c>
      <c r="G26" s="4">
        <f t="shared" si="3"/>
        <v>8.9</v>
      </c>
      <c r="H26" s="4">
        <f t="shared" si="3"/>
        <v>8.5</v>
      </c>
      <c r="I26" s="18">
        <f t="shared" si="3"/>
        <v>7.9</v>
      </c>
      <c r="J26" s="20">
        <f>$F26-$B26</f>
        <v>-1.5</v>
      </c>
      <c r="K26" s="4">
        <f>$F26+G$6-SQRT(SUMSQ($B26,C$6))</f>
        <v>0.12731512021547609</v>
      </c>
      <c r="L26" s="4">
        <f>$F26+H$6-SQRT(SUMSQ($B26,D$6))</f>
        <v>-4.4003745317530374E-2</v>
      </c>
      <c r="M26" s="18">
        <f>$F26+I$6-SQRT(SUMSQ($B26,E$6))</f>
        <v>-0.34621125123532082</v>
      </c>
    </row>
    <row r="27" spans="1:13" x14ac:dyDescent="0.2">
      <c r="A27" t="s">
        <v>23</v>
      </c>
      <c r="B27" s="11">
        <v>8</v>
      </c>
      <c r="C27" s="4">
        <f t="shared" si="2"/>
        <v>8.7726848797845243</v>
      </c>
      <c r="D27" s="4">
        <f t="shared" si="2"/>
        <v>8.5440037453175304</v>
      </c>
      <c r="E27" s="4">
        <f t="shared" si="2"/>
        <v>8.2462112512353212</v>
      </c>
      <c r="F27" s="11">
        <v>6.5</v>
      </c>
      <c r="G27" s="4">
        <f t="shared" si="3"/>
        <v>8.9</v>
      </c>
      <c r="H27" s="4">
        <f t="shared" si="3"/>
        <v>8.5</v>
      </c>
      <c r="I27" s="18">
        <f t="shared" si="3"/>
        <v>7.9</v>
      </c>
      <c r="J27" s="20">
        <f>$F27-$B27</f>
        <v>-1.5</v>
      </c>
      <c r="K27" s="4">
        <f>$F27+G$6-SQRT(SUMSQ($B27,C$6))</f>
        <v>0.12731512021547609</v>
      </c>
      <c r="L27" s="4">
        <f>$F27+H$6-SQRT(SUMSQ($B27,D$6))</f>
        <v>-4.4003745317530374E-2</v>
      </c>
      <c r="M27" s="18">
        <f>$F27+I$6-SQRT(SUMSQ($B27,E$6))</f>
        <v>-0.34621125123532082</v>
      </c>
    </row>
    <row r="28" spans="1:13" x14ac:dyDescent="0.2">
      <c r="A28" t="s">
        <v>24</v>
      </c>
      <c r="B28" s="11">
        <v>16</v>
      </c>
      <c r="C28" s="4">
        <f t="shared" si="2"/>
        <v>16.399999999999999</v>
      </c>
      <c r="D28" s="4">
        <f t="shared" si="2"/>
        <v>16.278820596099706</v>
      </c>
      <c r="E28" s="4">
        <f t="shared" si="2"/>
        <v>16.124515496597098</v>
      </c>
      <c r="F28" s="11">
        <v>14.4</v>
      </c>
      <c r="G28" s="4">
        <f t="shared" si="3"/>
        <v>16.8</v>
      </c>
      <c r="H28" s="4">
        <f t="shared" si="3"/>
        <v>16.399999999999999</v>
      </c>
      <c r="I28" s="18">
        <f t="shared" si="3"/>
        <v>15.8</v>
      </c>
      <c r="J28" s="20">
        <f>$F28-$B28</f>
        <v>-1.5999999999999996</v>
      </c>
      <c r="K28" s="4">
        <f>$F28+G$6-SQRT(SUMSQ($B28,C$6))</f>
        <v>0.40000000000000213</v>
      </c>
      <c r="L28" s="4">
        <f>$F28+H$6-SQRT(SUMSQ($B28,D$6))</f>
        <v>0.12117940390029247</v>
      </c>
      <c r="M28" s="18">
        <f>$F28+I$6-SQRT(SUMSQ($B28,E$6))</f>
        <v>-0.32451549659709755</v>
      </c>
    </row>
    <row r="29" spans="1:13" x14ac:dyDescent="0.2">
      <c r="A29" t="s">
        <v>25</v>
      </c>
      <c r="B29" s="11">
        <v>3</v>
      </c>
      <c r="C29" s="4">
        <f t="shared" si="2"/>
        <v>4.6861498055439927</v>
      </c>
      <c r="D29" s="4">
        <f t="shared" si="2"/>
        <v>4.2426406871192848</v>
      </c>
      <c r="E29" s="4">
        <f t="shared" si="2"/>
        <v>3.6055512754639891</v>
      </c>
      <c r="F29" s="11">
        <v>2.25</v>
      </c>
      <c r="G29" s="4">
        <f t="shared" si="3"/>
        <v>4.6500000000000004</v>
      </c>
      <c r="H29" s="4">
        <f t="shared" si="3"/>
        <v>4.25</v>
      </c>
      <c r="I29" s="18">
        <f t="shared" si="3"/>
        <v>3.65</v>
      </c>
      <c r="J29" s="20">
        <f>$F29-$B29</f>
        <v>-0.75</v>
      </c>
      <c r="K29" s="4">
        <f>$F29+G$6-SQRT(SUMSQ($B29,C$6))</f>
        <v>-3.6149805543992386E-2</v>
      </c>
      <c r="L29" s="4">
        <f>$F29+H$6-SQRT(SUMSQ($B29,D$6))</f>
        <v>7.3593128807152297E-3</v>
      </c>
      <c r="M29" s="18">
        <f>$F29+I$6-SQRT(SUMSQ($B29,E$6))</f>
        <v>4.4448724536010786E-2</v>
      </c>
    </row>
    <row r="30" spans="1:13" x14ac:dyDescent="0.2">
      <c r="A30" t="s">
        <v>26</v>
      </c>
      <c r="B30" s="11">
        <v>3</v>
      </c>
      <c r="C30" s="4">
        <f t="shared" si="2"/>
        <v>4.6861498055439927</v>
      </c>
      <c r="D30" s="4">
        <f t="shared" si="2"/>
        <v>4.2426406871192848</v>
      </c>
      <c r="E30" s="4">
        <f t="shared" si="2"/>
        <v>3.6055512754639891</v>
      </c>
      <c r="F30" s="11">
        <v>2.25</v>
      </c>
      <c r="G30" s="4">
        <f t="shared" si="3"/>
        <v>4.6500000000000004</v>
      </c>
      <c r="H30" s="4">
        <f t="shared" si="3"/>
        <v>4.25</v>
      </c>
      <c r="I30" s="18">
        <f t="shared" si="3"/>
        <v>3.65</v>
      </c>
      <c r="J30" s="20">
        <f>$F30-$B30</f>
        <v>-0.75</v>
      </c>
      <c r="K30" s="4">
        <f>$F30+G$6-SQRT(SUMSQ($B30,C$6))</f>
        <v>-3.6149805543992386E-2</v>
      </c>
      <c r="L30" s="4">
        <f>$F30+H$6-SQRT(SUMSQ($B30,D$6))</f>
        <v>7.3593128807152297E-3</v>
      </c>
      <c r="M30" s="18">
        <f>$F30+I$6-SQRT(SUMSQ($B30,E$6))</f>
        <v>4.4448724536010786E-2</v>
      </c>
    </row>
    <row r="31" spans="1:13" x14ac:dyDescent="0.2">
      <c r="A31" t="s">
        <v>27</v>
      </c>
      <c r="B31" s="11">
        <v>4</v>
      </c>
      <c r="C31" s="4">
        <f t="shared" si="2"/>
        <v>5.3814496188294845</v>
      </c>
      <c r="D31" s="4">
        <f t="shared" si="2"/>
        <v>5</v>
      </c>
      <c r="E31" s="4">
        <f t="shared" si="2"/>
        <v>4.4721359549995796</v>
      </c>
      <c r="F31" s="11">
        <v>3</v>
      </c>
      <c r="G31" s="4">
        <f t="shared" si="3"/>
        <v>5.4</v>
      </c>
      <c r="H31" s="4">
        <f t="shared" si="3"/>
        <v>5</v>
      </c>
      <c r="I31" s="18">
        <f t="shared" si="3"/>
        <v>4.4000000000000004</v>
      </c>
      <c r="J31" s="20">
        <f>$F31-$B31</f>
        <v>-1</v>
      </c>
      <c r="K31" s="4">
        <f>$F31+G$6-SQRT(SUMSQ($B31,C$6))</f>
        <v>1.8550381170515884E-2</v>
      </c>
      <c r="L31" s="4">
        <f>$F31+H$6-SQRT(SUMSQ($B31,D$6))</f>
        <v>0</v>
      </c>
      <c r="M31" s="18">
        <f>$F31+I$6-SQRT(SUMSQ($B31,E$6))</f>
        <v>-7.2135954999579255E-2</v>
      </c>
    </row>
    <row r="32" spans="1:13" x14ac:dyDescent="0.2">
      <c r="A32" t="s">
        <v>28</v>
      </c>
      <c r="B32" s="11">
        <v>2</v>
      </c>
      <c r="C32" s="4">
        <f t="shared" si="2"/>
        <v>4.1182520563948</v>
      </c>
      <c r="D32" s="4">
        <f t="shared" si="2"/>
        <v>3.6055512754639891</v>
      </c>
      <c r="E32" s="4">
        <f t="shared" si="2"/>
        <v>2.8284271247461903</v>
      </c>
      <c r="F32" s="11">
        <v>1.6</v>
      </c>
      <c r="G32" s="4">
        <f t="shared" si="3"/>
        <v>4</v>
      </c>
      <c r="H32" s="4">
        <f t="shared" si="3"/>
        <v>3.6</v>
      </c>
      <c r="I32" s="18">
        <f t="shared" si="3"/>
        <v>3</v>
      </c>
      <c r="J32" s="20">
        <f>$F32-$B32</f>
        <v>-0.39999999999999991</v>
      </c>
      <c r="K32" s="4">
        <f>$F32+G$6-SQRT(SUMSQ($B32,C$6))</f>
        <v>-0.11825205639479996</v>
      </c>
      <c r="L32" s="4">
        <f>$F32+H$6-SQRT(SUMSQ($B32,D$6))</f>
        <v>-5.551275463989036E-3</v>
      </c>
      <c r="M32" s="18">
        <f>$F32+I$6-SQRT(SUMSQ($B32,E$6))</f>
        <v>0.17157287525380971</v>
      </c>
    </row>
    <row r="33" spans="1:14" x14ac:dyDescent="0.2">
      <c r="A33" t="s">
        <v>29</v>
      </c>
      <c r="B33" s="11">
        <v>4</v>
      </c>
      <c r="C33" s="4">
        <f t="shared" si="2"/>
        <v>5.3814496188294845</v>
      </c>
      <c r="D33" s="4">
        <f t="shared" si="2"/>
        <v>5</v>
      </c>
      <c r="E33" s="4">
        <f t="shared" si="2"/>
        <v>4.4721359549995796</v>
      </c>
      <c r="F33" s="11">
        <v>3</v>
      </c>
      <c r="G33" s="4">
        <f t="shared" si="3"/>
        <v>5.4</v>
      </c>
      <c r="H33" s="4">
        <f t="shared" si="3"/>
        <v>5</v>
      </c>
      <c r="I33" s="18">
        <f t="shared" si="3"/>
        <v>4.4000000000000004</v>
      </c>
      <c r="J33" s="20">
        <f>$F33-$B33</f>
        <v>-1</v>
      </c>
      <c r="K33" s="4">
        <f>$F33+G$6-SQRT(SUMSQ($B33,C$6))</f>
        <v>1.8550381170515884E-2</v>
      </c>
      <c r="L33" s="4">
        <f>$F33+H$6-SQRT(SUMSQ($B33,D$6))</f>
        <v>0</v>
      </c>
      <c r="M33" s="18">
        <f>$F33+I$6-SQRT(SUMSQ($B33,E$6))</f>
        <v>-7.2135954999579255E-2</v>
      </c>
    </row>
    <row r="34" spans="1:14" x14ac:dyDescent="0.2">
      <c r="A34" t="s">
        <v>30</v>
      </c>
      <c r="B34" s="11">
        <v>4</v>
      </c>
      <c r="C34" s="4">
        <f t="shared" si="2"/>
        <v>5.3814496188294845</v>
      </c>
      <c r="D34" s="4">
        <f t="shared" si="2"/>
        <v>5</v>
      </c>
      <c r="E34" s="4">
        <f t="shared" si="2"/>
        <v>4.4721359549995796</v>
      </c>
      <c r="F34" s="11">
        <v>3</v>
      </c>
      <c r="G34" s="4">
        <f t="shared" si="3"/>
        <v>5.4</v>
      </c>
      <c r="H34" s="4">
        <f t="shared" si="3"/>
        <v>5</v>
      </c>
      <c r="I34" s="18">
        <f t="shared" si="3"/>
        <v>4.4000000000000004</v>
      </c>
      <c r="J34" s="20">
        <f>$F34-$B34</f>
        <v>-1</v>
      </c>
      <c r="K34" s="4">
        <f>$F34+G$6-SQRT(SUMSQ($B34,C$6))</f>
        <v>1.8550381170515884E-2</v>
      </c>
      <c r="L34" s="4">
        <f>$F34+H$6-SQRT(SUMSQ($B34,D$6))</f>
        <v>0</v>
      </c>
      <c r="M34" s="18">
        <f>$F34+I$6-SQRT(SUMSQ($B34,E$6))</f>
        <v>-7.2135954999579255E-2</v>
      </c>
    </row>
    <row r="35" spans="1:14" x14ac:dyDescent="0.2">
      <c r="A35" t="s">
        <v>31</v>
      </c>
      <c r="B35" s="11">
        <v>6</v>
      </c>
      <c r="C35" s="4">
        <f t="shared" si="2"/>
        <v>6.9971422738143607</v>
      </c>
      <c r="D35" s="4">
        <f t="shared" si="2"/>
        <v>6.7082039324993694</v>
      </c>
      <c r="E35" s="4">
        <f t="shared" si="2"/>
        <v>6.324555320336759</v>
      </c>
      <c r="F35" s="11">
        <v>4.7</v>
      </c>
      <c r="G35" s="4">
        <f t="shared" si="3"/>
        <v>7.1</v>
      </c>
      <c r="H35" s="4">
        <f t="shared" si="3"/>
        <v>6.7</v>
      </c>
      <c r="I35" s="18">
        <f t="shared" si="3"/>
        <v>6.1</v>
      </c>
      <c r="J35" s="20">
        <f>$F35-$B35</f>
        <v>-1.2999999999999998</v>
      </c>
      <c r="K35" s="4">
        <f>$F35+G$6-SQRT(SUMSQ($B35,C$6))</f>
        <v>0.10285772618563893</v>
      </c>
      <c r="L35" s="4">
        <f>$F35+H$6-SQRT(SUMSQ($B35,D$6))</f>
        <v>-8.2039324993692375E-3</v>
      </c>
      <c r="M35" s="18">
        <f>$F35+I$6-SQRT(SUMSQ($B35,E$6))</f>
        <v>-0.2245553203367594</v>
      </c>
    </row>
    <row r="36" spans="1:14" x14ac:dyDescent="0.2">
      <c r="A36" t="s">
        <v>32</v>
      </c>
      <c r="B36" s="11"/>
      <c r="C36" s="4"/>
      <c r="D36" s="4"/>
      <c r="E36" s="4"/>
      <c r="F36" s="11">
        <v>48</v>
      </c>
      <c r="G36" s="4">
        <f t="shared" si="3"/>
        <v>50.4</v>
      </c>
      <c r="H36" s="4">
        <f t="shared" si="3"/>
        <v>50</v>
      </c>
      <c r="I36" s="18">
        <f t="shared" si="3"/>
        <v>49.4</v>
      </c>
      <c r="J36" s="20"/>
      <c r="K36" s="4"/>
      <c r="L36" s="4"/>
      <c r="M36" s="18"/>
      <c r="N36" t="s">
        <v>40</v>
      </c>
    </row>
    <row r="37" spans="1:14" x14ac:dyDescent="0.2">
      <c r="B37" s="12"/>
      <c r="C37" s="3"/>
      <c r="D37" s="3"/>
      <c r="E37" s="3"/>
      <c r="F37" s="12"/>
      <c r="G37" s="3"/>
      <c r="H37" s="3"/>
      <c r="I37" s="10"/>
      <c r="J37" s="12"/>
      <c r="K37" s="3"/>
      <c r="L37" s="3"/>
      <c r="M37" s="10"/>
    </row>
    <row r="38" spans="1:14" x14ac:dyDescent="0.2">
      <c r="B38" s="12"/>
      <c r="C38" s="3"/>
      <c r="D38" s="3"/>
      <c r="E38" s="3"/>
      <c r="F38" s="12"/>
      <c r="G38" s="3"/>
      <c r="H38" s="3"/>
      <c r="I38" s="10"/>
      <c r="J38" s="12"/>
      <c r="K38" s="3"/>
      <c r="L38" s="3"/>
      <c r="M38" s="10"/>
    </row>
    <row r="39" spans="1:14" x14ac:dyDescent="0.2">
      <c r="B39" s="12"/>
      <c r="C39" s="3"/>
      <c r="D39" s="3"/>
      <c r="E39" s="3"/>
      <c r="F39" s="12"/>
      <c r="G39" s="3"/>
      <c r="H39" s="3"/>
      <c r="I39" s="10"/>
      <c r="J39" s="12"/>
      <c r="K39" s="3"/>
      <c r="L39" s="3"/>
      <c r="M39" s="10"/>
    </row>
    <row r="40" spans="1:14" ht="15" thickBot="1" x14ac:dyDescent="0.25">
      <c r="B40" s="13"/>
      <c r="C40" s="14"/>
      <c r="D40" s="14"/>
      <c r="E40" s="14"/>
      <c r="F40" s="13"/>
      <c r="G40" s="14"/>
      <c r="H40" s="14"/>
      <c r="I40" s="15"/>
      <c r="J40" s="13"/>
      <c r="K40" s="14"/>
      <c r="L40" s="14"/>
      <c r="M40" s="15"/>
    </row>
  </sheetData>
  <mergeCells count="8">
    <mergeCell ref="B5:B6"/>
    <mergeCell ref="F5:F6"/>
    <mergeCell ref="G5:I5"/>
    <mergeCell ref="C5:E5"/>
    <mergeCell ref="K5:M5"/>
    <mergeCell ref="J4:M4"/>
    <mergeCell ref="B4:E4"/>
    <mergeCell ref="F4:I4"/>
  </mergeCells>
  <phoneticPr fontId="1" type="noConversion"/>
  <conditionalFormatting sqref="K7:M3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4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2026-01-06T15:42:49Z</dcterms:modified>
</cp:coreProperties>
</file>