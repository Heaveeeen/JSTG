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QEasyTanim\JSTG\docs\"/>
    </mc:Choice>
  </mc:AlternateContent>
  <xr:revisionPtr revIDLastSave="0" documentId="13_ncr:1_{3A66FBD8-6DB9-4052-9C5D-5B8917003EFF}" xr6:coauthVersionLast="47" xr6:coauthVersionMax="47" xr10:uidLastSave="{00000000-0000-0000-0000-000000000000}"/>
  <bookViews>
    <workbookView xWindow="7695" yWindow="105" windowWidth="19830" windowHeight="14760" xr2:uid="{F26BB018-0CD6-4F9C-B959-6AFE7CC1D9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1" i="1" l="1"/>
  <c r="N41" i="1"/>
  <c r="M41" i="1"/>
  <c r="L41" i="1"/>
  <c r="J41" i="1"/>
  <c r="I41" i="1"/>
  <c r="H41" i="1"/>
  <c r="S40" i="1"/>
  <c r="N40" i="1"/>
  <c r="M40" i="1"/>
  <c r="L40" i="1"/>
  <c r="J40" i="1"/>
  <c r="I40" i="1"/>
  <c r="H40" i="1"/>
  <c r="S39" i="1"/>
  <c r="N39" i="1"/>
  <c r="M39" i="1"/>
  <c r="L39" i="1"/>
  <c r="J39" i="1"/>
  <c r="I39" i="1"/>
  <c r="H39" i="1"/>
  <c r="S13" i="1"/>
  <c r="N13" i="1"/>
  <c r="V13" i="1" s="1"/>
  <c r="M13" i="1"/>
  <c r="L13" i="1"/>
  <c r="J13" i="1"/>
  <c r="I13" i="1"/>
  <c r="H13" i="1"/>
  <c r="T13" i="1" s="1"/>
  <c r="L12" i="1"/>
  <c r="M12" i="1"/>
  <c r="N12" i="1"/>
  <c r="S12" i="1"/>
  <c r="H12" i="1"/>
  <c r="I12" i="1"/>
  <c r="J12" i="1"/>
  <c r="S7" i="1"/>
  <c r="S8" i="1"/>
  <c r="S9" i="1"/>
  <c r="S10" i="1"/>
  <c r="S11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5" i="1"/>
  <c r="S36" i="1"/>
  <c r="S37" i="1"/>
  <c r="S38" i="1"/>
  <c r="H8" i="1"/>
  <c r="I8" i="1"/>
  <c r="J8" i="1"/>
  <c r="H9" i="1"/>
  <c r="I9" i="1"/>
  <c r="J9" i="1"/>
  <c r="H10" i="1"/>
  <c r="I10" i="1"/>
  <c r="J10" i="1"/>
  <c r="H11" i="1"/>
  <c r="I11" i="1"/>
  <c r="J11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5" i="1"/>
  <c r="I35" i="1"/>
  <c r="J35" i="1"/>
  <c r="H36" i="1"/>
  <c r="I36" i="1"/>
  <c r="J36" i="1"/>
  <c r="H37" i="1"/>
  <c r="I37" i="1"/>
  <c r="J37" i="1"/>
  <c r="H38" i="1"/>
  <c r="I38" i="1"/>
  <c r="J38" i="1"/>
  <c r="I7" i="1"/>
  <c r="J7" i="1"/>
  <c r="H7" i="1"/>
  <c r="O7" i="1"/>
  <c r="O8" i="1"/>
  <c r="O9" i="1"/>
  <c r="O10" i="1"/>
  <c r="O11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5" i="1"/>
  <c r="O36" i="1"/>
  <c r="O37" i="1"/>
  <c r="E7" i="1"/>
  <c r="F7" i="1"/>
  <c r="E8" i="1"/>
  <c r="F8" i="1"/>
  <c r="E9" i="1"/>
  <c r="F9" i="1"/>
  <c r="E10" i="1"/>
  <c r="F10" i="1"/>
  <c r="E11" i="1"/>
  <c r="F11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L8" i="1"/>
  <c r="M8" i="1"/>
  <c r="U8" i="1" s="1"/>
  <c r="N8" i="1"/>
  <c r="L9" i="1"/>
  <c r="M9" i="1"/>
  <c r="N9" i="1"/>
  <c r="L10" i="1"/>
  <c r="M10" i="1"/>
  <c r="N10" i="1"/>
  <c r="L11" i="1"/>
  <c r="T11" i="1" s="1"/>
  <c r="M11" i="1"/>
  <c r="N11" i="1"/>
  <c r="L14" i="1"/>
  <c r="M14" i="1"/>
  <c r="N14" i="1"/>
  <c r="L15" i="1"/>
  <c r="M15" i="1"/>
  <c r="N15" i="1"/>
  <c r="L16" i="1"/>
  <c r="M16" i="1"/>
  <c r="N16" i="1"/>
  <c r="L17" i="1"/>
  <c r="M17" i="1"/>
  <c r="Q17" i="1" s="1"/>
  <c r="N17" i="1"/>
  <c r="R17" i="1" s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Q25" i="1" s="1"/>
  <c r="N25" i="1"/>
  <c r="R25" i="1" s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Q33" i="1" s="1"/>
  <c r="N33" i="1"/>
  <c r="L35" i="1"/>
  <c r="M35" i="1"/>
  <c r="N35" i="1"/>
  <c r="L36" i="1"/>
  <c r="M36" i="1"/>
  <c r="N36" i="1"/>
  <c r="R36" i="1" s="1"/>
  <c r="L37" i="1"/>
  <c r="M37" i="1"/>
  <c r="N37" i="1"/>
  <c r="L38" i="1"/>
  <c r="M38" i="1"/>
  <c r="N38" i="1"/>
  <c r="M7" i="1"/>
  <c r="N7" i="1"/>
  <c r="L7" i="1"/>
  <c r="D8" i="1"/>
  <c r="D9" i="1"/>
  <c r="D10" i="1"/>
  <c r="D11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7" i="1"/>
  <c r="Q26" i="1" l="1"/>
  <c r="Q18" i="1"/>
  <c r="V7" i="1"/>
  <c r="U39" i="1"/>
  <c r="Q32" i="1"/>
  <c r="Q24" i="1"/>
  <c r="U13" i="1"/>
  <c r="V39" i="1"/>
  <c r="Q16" i="1"/>
  <c r="U40" i="1"/>
  <c r="T41" i="1"/>
  <c r="U41" i="1"/>
  <c r="V41" i="1"/>
  <c r="T40" i="1"/>
  <c r="V40" i="1"/>
  <c r="T39" i="1"/>
  <c r="T12" i="1"/>
  <c r="Q15" i="1"/>
  <c r="U37" i="1"/>
  <c r="V33" i="1"/>
  <c r="T31" i="1"/>
  <c r="Q35" i="1"/>
  <c r="Q23" i="1"/>
  <c r="Q28" i="1"/>
  <c r="Q31" i="1"/>
  <c r="Q30" i="1"/>
  <c r="R27" i="1"/>
  <c r="Q22" i="1"/>
  <c r="R19" i="1"/>
  <c r="Q14" i="1"/>
  <c r="Q27" i="1"/>
  <c r="Q19" i="1"/>
  <c r="V12" i="1"/>
  <c r="U12" i="1"/>
  <c r="R26" i="1"/>
  <c r="R18" i="1"/>
  <c r="V30" i="1"/>
  <c r="T28" i="1"/>
  <c r="R22" i="1"/>
  <c r="Q20" i="1"/>
  <c r="P17" i="1"/>
  <c r="U7" i="1"/>
  <c r="U36" i="1"/>
  <c r="P25" i="1"/>
  <c r="P36" i="1"/>
  <c r="R29" i="1"/>
  <c r="V21" i="1"/>
  <c r="R11" i="1"/>
  <c r="T9" i="1"/>
  <c r="Q29" i="1"/>
  <c r="P33" i="1"/>
  <c r="R32" i="1"/>
  <c r="R24" i="1"/>
  <c r="R16" i="1"/>
  <c r="R35" i="1"/>
  <c r="U21" i="1"/>
  <c r="U11" i="1"/>
  <c r="V8" i="1"/>
  <c r="R31" i="1"/>
  <c r="R23" i="1"/>
  <c r="V37" i="1"/>
  <c r="V28" i="1"/>
  <c r="R20" i="1"/>
  <c r="V10" i="1"/>
  <c r="P23" i="1"/>
  <c r="Q10" i="1"/>
  <c r="P37" i="1"/>
  <c r="R9" i="1"/>
  <c r="P30" i="1"/>
  <c r="P22" i="1"/>
  <c r="P14" i="1"/>
  <c r="U9" i="1"/>
  <c r="P19" i="1"/>
  <c r="P27" i="1"/>
  <c r="P32" i="1"/>
  <c r="P24" i="1"/>
  <c r="P16" i="1"/>
  <c r="P29" i="1"/>
  <c r="P21" i="1"/>
  <c r="R15" i="1"/>
  <c r="P35" i="1"/>
  <c r="P26" i="1"/>
  <c r="P18" i="1"/>
  <c r="T8" i="1"/>
  <c r="P15" i="1"/>
  <c r="P7" i="1"/>
  <c r="P20" i="1"/>
  <c r="P10" i="1"/>
  <c r="V38" i="1"/>
  <c r="U38" i="1"/>
  <c r="U20" i="1"/>
  <c r="V14" i="1"/>
  <c r="U31" i="1"/>
  <c r="T35" i="1"/>
  <c r="T23" i="1"/>
  <c r="T37" i="1"/>
  <c r="T20" i="1"/>
  <c r="T33" i="1"/>
  <c r="T25" i="1"/>
  <c r="T22" i="1"/>
  <c r="P31" i="1"/>
  <c r="P9" i="1"/>
  <c r="T32" i="1"/>
  <c r="T24" i="1"/>
  <c r="T16" i="1"/>
  <c r="T36" i="1"/>
  <c r="T21" i="1"/>
  <c r="T7" i="1"/>
  <c r="U26" i="1"/>
  <c r="P8" i="1"/>
  <c r="P11" i="1"/>
  <c r="T17" i="1"/>
  <c r="U18" i="1"/>
  <c r="T15" i="1"/>
  <c r="T10" i="1"/>
  <c r="Q7" i="1"/>
  <c r="U23" i="1"/>
  <c r="Q37" i="1"/>
  <c r="Q21" i="1"/>
  <c r="Q9" i="1"/>
  <c r="U35" i="1"/>
  <c r="U10" i="1"/>
  <c r="U33" i="1"/>
  <c r="U25" i="1"/>
  <c r="Q36" i="1"/>
  <c r="Q8" i="1"/>
  <c r="U22" i="1"/>
  <c r="U28" i="1"/>
  <c r="U19" i="1"/>
  <c r="Q11" i="1"/>
  <c r="U32" i="1"/>
  <c r="U24" i="1"/>
  <c r="U17" i="1"/>
  <c r="V22" i="1"/>
  <c r="R21" i="1"/>
  <c r="V35" i="1"/>
  <c r="V26" i="1"/>
  <c r="V23" i="1"/>
  <c r="V15" i="1"/>
  <c r="R33" i="1"/>
  <c r="R37" i="1"/>
  <c r="R28" i="1"/>
  <c r="V11" i="1"/>
  <c r="V25" i="1"/>
  <c r="R8" i="1"/>
  <c r="V31" i="1"/>
  <c r="R7" i="1"/>
  <c r="V20" i="1"/>
  <c r="R10" i="1"/>
  <c r="V17" i="1"/>
  <c r="V9" i="1"/>
  <c r="V36" i="1"/>
  <c r="V27" i="1"/>
  <c r="R30" i="1"/>
  <c r="V32" i="1"/>
  <c r="V24" i="1"/>
  <c r="T19" i="1"/>
  <c r="V19" i="1"/>
  <c r="T18" i="1"/>
  <c r="V18" i="1"/>
  <c r="U15" i="1"/>
  <c r="V16" i="1"/>
  <c r="U16" i="1"/>
  <c r="T14" i="1"/>
  <c r="R14" i="1"/>
  <c r="U14" i="1"/>
  <c r="T26" i="1"/>
  <c r="U27" i="1"/>
  <c r="T27" i="1"/>
  <c r="T38" i="1"/>
  <c r="V29" i="1"/>
  <c r="U29" i="1"/>
  <c r="T29" i="1"/>
  <c r="T30" i="1"/>
  <c r="U30" i="1"/>
  <c r="P28" i="1"/>
</calcChain>
</file>

<file path=xl/sharedStrings.xml><?xml version="1.0" encoding="utf-8"?>
<sst xmlns="http://schemas.openxmlformats.org/spreadsheetml/2006/main" count="100" uniqueCount="89">
  <si>
    <t>弹幕引擎模板</t>
    <phoneticPr fontId="1" type="noConversion"/>
  </si>
  <si>
    <t>弹幕种类</t>
    <phoneticPr fontId="1" type="noConversion"/>
  </si>
  <si>
    <t>备注</t>
    <phoneticPr fontId="1" type="noConversion"/>
  </si>
  <si>
    <t>smallball</t>
  </si>
  <si>
    <t>ringball</t>
  </si>
  <si>
    <t>glowball</t>
  </si>
  <si>
    <t>fireball</t>
  </si>
  <si>
    <t>dot</t>
  </si>
  <si>
    <t>grain</t>
  </si>
  <si>
    <t>chain</t>
  </si>
  <si>
    <t>seed</t>
  </si>
  <si>
    <t>scale</t>
  </si>
  <si>
    <t>bullet</t>
  </si>
  <si>
    <t>drip</t>
  </si>
  <si>
    <t>card</t>
  </si>
  <si>
    <t>note</t>
  </si>
  <si>
    <t>arrow</t>
  </si>
  <si>
    <t>butterfly</t>
  </si>
  <si>
    <t>smallstar</t>
  </si>
  <si>
    <t>bigstar</t>
  </si>
  <si>
    <t>ellipse</t>
  </si>
  <si>
    <t>heart</t>
  </si>
  <si>
    <t>middleball</t>
  </si>
  <si>
    <t>lightball</t>
  </si>
  <si>
    <t>bubble</t>
  </si>
  <si>
    <t>crystal</t>
  </si>
  <si>
    <t>particle</t>
  </si>
  <si>
    <t>nova</t>
  </si>
  <si>
    <t>needle</t>
  </si>
  <si>
    <t>coin</t>
  </si>
  <si>
    <t>knife</t>
  </si>
  <si>
    <t>sword</t>
  </si>
  <si>
    <t>nuclear</t>
  </si>
  <si>
    <t>弹幕</t>
    <phoneticPr fontId="1" type="noConversion"/>
  </si>
  <si>
    <t>对自机判定</t>
    <phoneticPr fontId="1" type="noConversion"/>
  </si>
  <si>
    <t>弹幕引擎有核弹的贴图，但没有判定数据</t>
    <phoneticPr fontId="1" type="noConversion"/>
  </si>
  <si>
    <t>弹幕引擎模板中：使用正交圆判定，普通自机3.6判，Simple 3判；原作灵梦2判</t>
    <phoneticPr fontId="1" type="noConversion"/>
  </si>
  <si>
    <t>JSTG-正交</t>
    <phoneticPr fontId="1" type="noConversion"/>
  </si>
  <si>
    <t>JSTG-相交与弹幕引擎的差异</t>
    <phoneticPr fontId="1" type="noConversion"/>
  </si>
  <si>
    <t>JSTG-相交与正交的差异</t>
    <phoneticPr fontId="1" type="noConversion"/>
  </si>
  <si>
    <t>1.4 - 3.6</t>
    <phoneticPr fontId="1" type="noConversion"/>
  </si>
  <si>
    <t>1 - 3</t>
    <phoneticPr fontId="1" type="noConversion"/>
  </si>
  <si>
    <t>0.4 - 2</t>
    <phoneticPr fontId="1" type="noConversion"/>
  </si>
  <si>
    <t>弹幕引擎没有菌弹和杆菌弹</t>
    <phoneticPr fontId="1" type="noConversion"/>
  </si>
  <si>
    <t>laserseg</t>
    <phoneticPr fontId="1" type="noConversion"/>
  </si>
  <si>
    <t>popcorn</t>
    <phoneticPr fontId="1" type="noConversion"/>
  </si>
  <si>
    <t>darkpill</t>
    <phoneticPr fontId="1" type="noConversion"/>
  </si>
  <si>
    <t>内部 id</t>
    <phoneticPr fontId="1" type="noConversion"/>
  </si>
  <si>
    <t>解释</t>
    <phoneticPr fontId="1" type="noConversion"/>
  </si>
  <si>
    <t>小玉</t>
    <phoneticPr fontId="1" type="noConversion"/>
  </si>
  <si>
    <t>环玉</t>
    <phoneticPr fontId="1" type="noConversion"/>
  </si>
  <si>
    <t>水光弹</t>
    <phoneticPr fontId="1" type="noConversion"/>
  </si>
  <si>
    <t>炎弹</t>
    <phoneticPr fontId="1" type="noConversion"/>
  </si>
  <si>
    <t>点弹</t>
    <phoneticPr fontId="1" type="noConversion"/>
  </si>
  <si>
    <t>菌弹</t>
    <phoneticPr fontId="1" type="noConversion"/>
  </si>
  <si>
    <t>杆菌弹</t>
    <phoneticPr fontId="1" type="noConversion"/>
  </si>
  <si>
    <t>米弹</t>
    <phoneticPr fontId="1" type="noConversion"/>
  </si>
  <si>
    <t>链弹</t>
    <phoneticPr fontId="1" type="noConversion"/>
  </si>
  <si>
    <t>针弹</t>
    <phoneticPr fontId="1" type="noConversion"/>
  </si>
  <si>
    <t>鳞弹</t>
    <phoneticPr fontId="1" type="noConversion"/>
  </si>
  <si>
    <t>铳弹</t>
    <phoneticPr fontId="1" type="noConversion"/>
  </si>
  <si>
    <t>滴弹</t>
    <phoneticPr fontId="1" type="noConversion"/>
  </si>
  <si>
    <t>札弹</t>
    <phoneticPr fontId="1" type="noConversion"/>
  </si>
  <si>
    <t>音符弹</t>
    <phoneticPr fontId="1" type="noConversion"/>
  </si>
  <si>
    <t>箭弹</t>
    <phoneticPr fontId="1" type="noConversion"/>
  </si>
  <si>
    <t>蝶弹</t>
    <phoneticPr fontId="1" type="noConversion"/>
  </si>
  <si>
    <t>大星弹</t>
    <phoneticPr fontId="1" type="noConversion"/>
  </si>
  <si>
    <t>小星弹</t>
    <phoneticPr fontId="1" type="noConversion"/>
  </si>
  <si>
    <t>椭弹</t>
    <phoneticPr fontId="1" type="noConversion"/>
  </si>
  <si>
    <t>心弹</t>
    <phoneticPr fontId="1" type="noConversion"/>
  </si>
  <si>
    <t>中玉</t>
    <phoneticPr fontId="1" type="noConversion"/>
  </si>
  <si>
    <t>光玉</t>
    <phoneticPr fontId="1" type="noConversion"/>
  </si>
  <si>
    <t>大玉</t>
    <phoneticPr fontId="1" type="noConversion"/>
  </si>
  <si>
    <t>simple粒子</t>
    <phoneticPr fontId="1" type="noConversion"/>
  </si>
  <si>
    <t>枫叶水晶</t>
    <phoneticPr fontId="1" type="noConversion"/>
  </si>
  <si>
    <t>激光头</t>
    <phoneticPr fontId="1" type="noConversion"/>
  </si>
  <si>
    <t>激光段</t>
    <phoneticPr fontId="1" type="noConversion"/>
  </si>
  <si>
    <t>封魔针(?)</t>
    <phoneticPr fontId="1" type="noConversion"/>
  </si>
  <si>
    <t>硬币</t>
    <phoneticPr fontId="1" type="noConversion"/>
  </si>
  <si>
    <t>刀弹</t>
    <phoneticPr fontId="1" type="noConversion"/>
  </si>
  <si>
    <t>罪弹</t>
    <phoneticPr fontId="1" type="noConversion"/>
  </si>
  <si>
    <t>核弹</t>
    <phoneticPr fontId="1" type="noConversion"/>
  </si>
  <si>
    <t>yinyang</t>
    <phoneticPr fontId="1" type="noConversion"/>
  </si>
  <si>
    <t>bigyinyang</t>
    <phoneticPr fontId="1" type="noConversion"/>
  </si>
  <si>
    <t>阴阳玉</t>
    <phoneticPr fontId="1" type="noConversion"/>
  </si>
  <si>
    <t>大阴阳玉</t>
    <phoneticPr fontId="1" type="noConversion"/>
  </si>
  <si>
    <t>JSTG-相交</t>
    <phoneticPr fontId="1" type="noConversion"/>
  </si>
  <si>
    <t>JSTG中：使用相交圆判定，普通自机1判，瘦子0.4判，胖子1.4判（暂定）</t>
    <phoneticPr fontId="1" type="noConversion"/>
  </si>
  <si>
    <t>原作判定为28，太实了，这里稍微小一点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</si>
</sst>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76" fontId="0" fillId="0" borderId="0" xfId="0" applyNumberFormat="1" applyAlignment="1">
      <alignment horizontal="left" vertical="center"/>
    </xf>
    <xf numFmtId="49" fontId="0" fillId="0" borderId="0" xfId="0" applyNumberFormat="1">
      <alignment vertical="center"/>
    </xf>
    <xf numFmtId="0" fontId="0" fillId="0" borderId="5" xfId="0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76" fontId="0" fillId="0" borderId="5" xfId="0" applyNumberFormat="1" applyBorder="1" applyAlignment="1">
      <alignment horizontal="left" vertical="center"/>
    </xf>
    <xf numFmtId="49" fontId="0" fillId="0" borderId="5" xfId="0" applyNumberFormat="1" applyBorder="1">
      <alignment vertical="center"/>
    </xf>
    <xf numFmtId="176" fontId="0" fillId="0" borderId="4" xfId="0" applyNumberForma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27F0-6311-4697-8D28-A10E09D0B70F}">
  <dimension ref="A1:W42"/>
  <sheetViews>
    <sheetView tabSelected="1" topLeftCell="F13" zoomScaleNormal="100" workbookViewId="0">
      <selection activeCell="G41" sqref="G41"/>
    </sheetView>
  </sheetViews>
  <sheetFormatPr defaultRowHeight="14.25" x14ac:dyDescent="0.2"/>
  <cols>
    <col min="1" max="2" width="10" customWidth="1"/>
    <col min="3" max="3" width="5" customWidth="1"/>
    <col min="4" max="6" width="10" customWidth="1"/>
    <col min="7" max="7" width="5" customWidth="1"/>
    <col min="8" max="10" width="10" customWidth="1"/>
    <col min="11" max="11" width="5" customWidth="1"/>
    <col min="12" max="14" width="10" customWidth="1"/>
    <col min="15" max="15" width="7" customWidth="1"/>
    <col min="16" max="18" width="10" customWidth="1"/>
    <col min="19" max="19" width="7" customWidth="1"/>
    <col min="20" max="22" width="10" customWidth="1"/>
    <col min="23" max="23" width="30.5" customWidth="1"/>
  </cols>
  <sheetData>
    <row r="1" spans="1:23" x14ac:dyDescent="0.2">
      <c r="A1" t="s">
        <v>36</v>
      </c>
    </row>
    <row r="2" spans="1:23" x14ac:dyDescent="0.2">
      <c r="A2" t="s">
        <v>87</v>
      </c>
    </row>
    <row r="3" spans="1:23" ht="15" thickBot="1" x14ac:dyDescent="0.25"/>
    <row r="4" spans="1:23" x14ac:dyDescent="0.2">
      <c r="C4" s="14" t="s">
        <v>0</v>
      </c>
      <c r="D4" s="15"/>
      <c r="E4" s="15"/>
      <c r="F4" s="15"/>
      <c r="G4" s="14" t="s">
        <v>37</v>
      </c>
      <c r="H4" s="15"/>
      <c r="I4" s="15"/>
      <c r="J4" s="15"/>
      <c r="K4" s="14" t="s">
        <v>86</v>
      </c>
      <c r="L4" s="15"/>
      <c r="M4" s="15"/>
      <c r="N4" s="16"/>
      <c r="O4" s="14" t="s">
        <v>38</v>
      </c>
      <c r="P4" s="15"/>
      <c r="Q4" s="15"/>
      <c r="R4" s="16"/>
      <c r="S4" s="14" t="s">
        <v>39</v>
      </c>
      <c r="T4" s="15"/>
      <c r="U4" s="15"/>
      <c r="V4" s="16"/>
      <c r="W4" t="s">
        <v>2</v>
      </c>
    </row>
    <row r="5" spans="1:23" x14ac:dyDescent="0.2">
      <c r="A5" s="11" t="s">
        <v>1</v>
      </c>
      <c r="B5" s="12"/>
      <c r="C5" s="17" t="s">
        <v>33</v>
      </c>
      <c r="D5" s="11" t="s">
        <v>34</v>
      </c>
      <c r="E5" s="11"/>
      <c r="F5" s="11"/>
      <c r="G5" s="17" t="s">
        <v>33</v>
      </c>
      <c r="H5" s="11" t="s">
        <v>34</v>
      </c>
      <c r="I5" s="11"/>
      <c r="J5" s="11"/>
      <c r="K5" s="17" t="s">
        <v>33</v>
      </c>
      <c r="L5" s="11" t="s">
        <v>34</v>
      </c>
      <c r="M5" s="11"/>
      <c r="N5" s="12"/>
      <c r="O5" s="17" t="s">
        <v>33</v>
      </c>
      <c r="P5" s="11" t="s">
        <v>34</v>
      </c>
      <c r="Q5" s="11"/>
      <c r="R5" s="12"/>
      <c r="S5" s="17" t="s">
        <v>33</v>
      </c>
      <c r="T5" s="11" t="s">
        <v>34</v>
      </c>
      <c r="U5" s="11"/>
      <c r="V5" s="12"/>
    </row>
    <row r="6" spans="1:23" x14ac:dyDescent="0.2">
      <c r="A6" t="s">
        <v>47</v>
      </c>
      <c r="B6" t="s">
        <v>48</v>
      </c>
      <c r="C6" s="17"/>
      <c r="D6">
        <v>3.6</v>
      </c>
      <c r="E6">
        <v>3</v>
      </c>
      <c r="F6">
        <v>2</v>
      </c>
      <c r="G6" s="17"/>
      <c r="H6">
        <v>3.6</v>
      </c>
      <c r="I6">
        <v>3</v>
      </c>
      <c r="J6">
        <v>2</v>
      </c>
      <c r="K6" s="17"/>
      <c r="L6">
        <v>1.4</v>
      </c>
      <c r="M6">
        <v>1</v>
      </c>
      <c r="N6" s="3">
        <v>0.4</v>
      </c>
      <c r="O6" s="17"/>
      <c r="P6" s="2" t="s">
        <v>40</v>
      </c>
      <c r="Q6" s="2" t="s">
        <v>41</v>
      </c>
      <c r="R6" s="9" t="s">
        <v>42</v>
      </c>
      <c r="S6" s="17"/>
      <c r="T6" s="2" t="s">
        <v>40</v>
      </c>
      <c r="U6" s="2" t="s">
        <v>41</v>
      </c>
      <c r="V6" s="9" t="s">
        <v>42</v>
      </c>
    </row>
    <row r="7" spans="1:23" x14ac:dyDescent="0.2">
      <c r="A7" t="s">
        <v>3</v>
      </c>
      <c r="B7" t="s">
        <v>49</v>
      </c>
      <c r="C7" s="4">
        <v>4</v>
      </c>
      <c r="D7" s="1">
        <f>SQRT(SUMSQ($C7,D$6))</f>
        <v>5.3814496188294845</v>
      </c>
      <c r="E7" s="1">
        <f t="shared" ref="E7:F7" si="0">SQRT(SUMSQ($C7,E$6))</f>
        <v>5</v>
      </c>
      <c r="F7" s="1">
        <f t="shared" si="0"/>
        <v>4.4721359549995796</v>
      </c>
      <c r="G7" s="4">
        <v>4</v>
      </c>
      <c r="H7" s="1">
        <f>SQRT(SUMSQ($G7,H$6))</f>
        <v>5.3814496188294845</v>
      </c>
      <c r="I7" s="1">
        <f t="shared" ref="I7:J24" si="1">SQRT(SUMSQ($G7,I$6))</f>
        <v>5</v>
      </c>
      <c r="J7" s="1">
        <f t="shared" si="1"/>
        <v>4.4721359549995796</v>
      </c>
      <c r="K7" s="4">
        <v>4</v>
      </c>
      <c r="L7" s="1">
        <f t="shared" ref="L7:N33" si="2">$K7+L$6</f>
        <v>5.4</v>
      </c>
      <c r="M7" s="1">
        <f t="shared" si="2"/>
        <v>5</v>
      </c>
      <c r="N7" s="8">
        <f t="shared" si="2"/>
        <v>4.4000000000000004</v>
      </c>
      <c r="O7" s="10">
        <f t="shared" ref="O7:O33" si="3">$K7-$C7</f>
        <v>0</v>
      </c>
      <c r="P7" s="1">
        <f>L7-D7</f>
        <v>1.8550381170515884E-2</v>
      </c>
      <c r="Q7" s="1">
        <f t="shared" ref="Q7:R7" si="4">M7-E7</f>
        <v>0</v>
      </c>
      <c r="R7" s="1">
        <f t="shared" si="4"/>
        <v>-7.2135954999579255E-2</v>
      </c>
      <c r="S7" s="10">
        <f>$K7-$G7</f>
        <v>0</v>
      </c>
      <c r="T7" s="1">
        <f>L7-H7</f>
        <v>1.8550381170515884E-2</v>
      </c>
      <c r="U7" s="1">
        <f t="shared" ref="U7:V7" si="5">M7-I7</f>
        <v>0</v>
      </c>
      <c r="V7" s="8">
        <f t="shared" si="5"/>
        <v>-7.2135954999579255E-2</v>
      </c>
    </row>
    <row r="8" spans="1:23" x14ac:dyDescent="0.2">
      <c r="A8" t="s">
        <v>4</v>
      </c>
      <c r="B8" t="s">
        <v>50</v>
      </c>
      <c r="C8" s="4">
        <v>4</v>
      </c>
      <c r="D8" s="1">
        <f t="shared" ref="D8:F37" si="6">SQRT(SUMSQ($C8,D$6))</f>
        <v>5.3814496188294845</v>
      </c>
      <c r="E8" s="1">
        <f t="shared" si="6"/>
        <v>5</v>
      </c>
      <c r="F8" s="1">
        <f t="shared" si="6"/>
        <v>4.4721359549995796</v>
      </c>
      <c r="G8" s="4">
        <v>4</v>
      </c>
      <c r="H8" s="1">
        <f t="shared" ref="H8:J41" si="7">SQRT(SUMSQ($G8,H$6))</f>
        <v>5.3814496188294845</v>
      </c>
      <c r="I8" s="1">
        <f t="shared" si="1"/>
        <v>5</v>
      </c>
      <c r="J8" s="1">
        <f t="shared" si="1"/>
        <v>4.4721359549995796</v>
      </c>
      <c r="K8" s="4">
        <v>4</v>
      </c>
      <c r="L8" s="1">
        <f t="shared" si="2"/>
        <v>5.4</v>
      </c>
      <c r="M8" s="1">
        <f t="shared" si="2"/>
        <v>5</v>
      </c>
      <c r="N8" s="8">
        <f t="shared" si="2"/>
        <v>4.4000000000000004</v>
      </c>
      <c r="O8" s="10">
        <f t="shared" si="3"/>
        <v>0</v>
      </c>
      <c r="P8" s="1">
        <f t="shared" ref="P8:P37" si="8">L8-D8</f>
        <v>1.8550381170515884E-2</v>
      </c>
      <c r="Q8" s="1">
        <f t="shared" ref="Q8:Q37" si="9">M8-E8</f>
        <v>0</v>
      </c>
      <c r="R8" s="1">
        <f t="shared" ref="R8:R37" si="10">N8-F8</f>
        <v>-7.2135954999579255E-2</v>
      </c>
      <c r="S8" s="10">
        <f t="shared" ref="S8:S41" si="11">$K8-$G8</f>
        <v>0</v>
      </c>
      <c r="T8" s="1">
        <f t="shared" ref="T8:T38" si="12">L8-H8</f>
        <v>1.8550381170515884E-2</v>
      </c>
      <c r="U8" s="1">
        <f t="shared" ref="U8:U38" si="13">M8-I8</f>
        <v>0</v>
      </c>
      <c r="V8" s="8">
        <f t="shared" ref="V8:V38" si="14">N8-J8</f>
        <v>-7.2135954999579255E-2</v>
      </c>
    </row>
    <row r="9" spans="1:23" x14ac:dyDescent="0.2">
      <c r="A9" t="s">
        <v>5</v>
      </c>
      <c r="B9" t="s">
        <v>51</v>
      </c>
      <c r="C9" s="4">
        <v>4</v>
      </c>
      <c r="D9" s="1">
        <f t="shared" si="6"/>
        <v>5.3814496188294845</v>
      </c>
      <c r="E9" s="1">
        <f t="shared" si="6"/>
        <v>5</v>
      </c>
      <c r="F9" s="1">
        <f t="shared" si="6"/>
        <v>4.4721359549995796</v>
      </c>
      <c r="G9" s="4">
        <v>4</v>
      </c>
      <c r="H9" s="1">
        <f t="shared" si="7"/>
        <v>5.3814496188294845</v>
      </c>
      <c r="I9" s="1">
        <f t="shared" si="1"/>
        <v>5</v>
      </c>
      <c r="J9" s="1">
        <f t="shared" si="1"/>
        <v>4.4721359549995796</v>
      </c>
      <c r="K9" s="4">
        <v>4</v>
      </c>
      <c r="L9" s="1">
        <f t="shared" si="2"/>
        <v>5.4</v>
      </c>
      <c r="M9" s="1">
        <f t="shared" si="2"/>
        <v>5</v>
      </c>
      <c r="N9" s="8">
        <f t="shared" si="2"/>
        <v>4.4000000000000004</v>
      </c>
      <c r="O9" s="10">
        <f t="shared" si="3"/>
        <v>0</v>
      </c>
      <c r="P9" s="1">
        <f t="shared" si="8"/>
        <v>1.8550381170515884E-2</v>
      </c>
      <c r="Q9" s="1">
        <f t="shared" si="9"/>
        <v>0</v>
      </c>
      <c r="R9" s="1">
        <f t="shared" si="10"/>
        <v>-7.2135954999579255E-2</v>
      </c>
      <c r="S9" s="10">
        <f t="shared" si="11"/>
        <v>0</v>
      </c>
      <c r="T9" s="1">
        <f t="shared" si="12"/>
        <v>1.8550381170515884E-2</v>
      </c>
      <c r="U9" s="1">
        <f t="shared" si="13"/>
        <v>0</v>
      </c>
      <c r="V9" s="8">
        <f t="shared" si="14"/>
        <v>-7.2135954999579255E-2</v>
      </c>
    </row>
    <row r="10" spans="1:23" x14ac:dyDescent="0.2">
      <c r="A10" t="s">
        <v>6</v>
      </c>
      <c r="B10" t="s">
        <v>52</v>
      </c>
      <c r="C10" s="4">
        <v>4</v>
      </c>
      <c r="D10" s="1">
        <f t="shared" si="6"/>
        <v>5.3814496188294845</v>
      </c>
      <c r="E10" s="1">
        <f t="shared" si="6"/>
        <v>5</v>
      </c>
      <c r="F10" s="1">
        <f t="shared" si="6"/>
        <v>4.4721359549995796</v>
      </c>
      <c r="G10" s="4">
        <v>4</v>
      </c>
      <c r="H10" s="1">
        <f t="shared" si="7"/>
        <v>5.3814496188294845</v>
      </c>
      <c r="I10" s="1">
        <f t="shared" si="1"/>
        <v>5</v>
      </c>
      <c r="J10" s="1">
        <f t="shared" si="1"/>
        <v>4.4721359549995796</v>
      </c>
      <c r="K10" s="4">
        <v>4</v>
      </c>
      <c r="L10" s="1">
        <f t="shared" si="2"/>
        <v>5.4</v>
      </c>
      <c r="M10" s="1">
        <f t="shared" si="2"/>
        <v>5</v>
      </c>
      <c r="N10" s="8">
        <f t="shared" si="2"/>
        <v>4.4000000000000004</v>
      </c>
      <c r="O10" s="10">
        <f t="shared" si="3"/>
        <v>0</v>
      </c>
      <c r="P10" s="1">
        <f t="shared" si="8"/>
        <v>1.8550381170515884E-2</v>
      </c>
      <c r="Q10" s="1">
        <f t="shared" si="9"/>
        <v>0</v>
      </c>
      <c r="R10" s="1">
        <f t="shared" si="10"/>
        <v>-7.2135954999579255E-2</v>
      </c>
      <c r="S10" s="10">
        <f t="shared" si="11"/>
        <v>0</v>
      </c>
      <c r="T10" s="1">
        <f t="shared" si="12"/>
        <v>1.8550381170515884E-2</v>
      </c>
      <c r="U10" s="1">
        <f t="shared" si="13"/>
        <v>0</v>
      </c>
      <c r="V10" s="8">
        <f t="shared" si="14"/>
        <v>-7.2135954999579255E-2</v>
      </c>
    </row>
    <row r="11" spans="1:23" x14ac:dyDescent="0.2">
      <c r="A11" t="s">
        <v>7</v>
      </c>
      <c r="B11" t="s">
        <v>53</v>
      </c>
      <c r="C11" s="4">
        <v>2.4</v>
      </c>
      <c r="D11" s="1">
        <f t="shared" si="6"/>
        <v>4.3266615305567866</v>
      </c>
      <c r="E11" s="1">
        <f t="shared" si="6"/>
        <v>3.8418745424597094</v>
      </c>
      <c r="F11" s="1">
        <f t="shared" si="6"/>
        <v>3.1240998703626617</v>
      </c>
      <c r="G11" s="4">
        <v>2.4</v>
      </c>
      <c r="H11" s="1">
        <f t="shared" si="7"/>
        <v>4.3266615305567866</v>
      </c>
      <c r="I11" s="1">
        <f t="shared" si="1"/>
        <v>3.8418745424597094</v>
      </c>
      <c r="J11" s="1">
        <f t="shared" si="1"/>
        <v>3.1240998703626617</v>
      </c>
      <c r="K11" s="4">
        <v>2.8</v>
      </c>
      <c r="L11" s="1">
        <f t="shared" si="2"/>
        <v>4.1999999999999993</v>
      </c>
      <c r="M11" s="1">
        <f t="shared" si="2"/>
        <v>3.8</v>
      </c>
      <c r="N11" s="8">
        <f t="shared" si="2"/>
        <v>3.1999999999999997</v>
      </c>
      <c r="O11" s="10">
        <f t="shared" si="3"/>
        <v>0.39999999999999991</v>
      </c>
      <c r="P11" s="1">
        <f t="shared" si="8"/>
        <v>-0.12666153055678731</v>
      </c>
      <c r="Q11" s="1">
        <f t="shared" si="9"/>
        <v>-4.1874542459709563E-2</v>
      </c>
      <c r="R11" s="1">
        <f t="shared" si="10"/>
        <v>7.5900129637338054E-2</v>
      </c>
      <c r="S11" s="10">
        <f t="shared" si="11"/>
        <v>0.39999999999999991</v>
      </c>
      <c r="T11" s="1">
        <f t="shared" si="12"/>
        <v>-0.12666153055678731</v>
      </c>
      <c r="U11" s="1">
        <f t="shared" si="13"/>
        <v>-4.1874542459709563E-2</v>
      </c>
      <c r="V11" s="8">
        <f t="shared" si="14"/>
        <v>7.5900129637338054E-2</v>
      </c>
    </row>
    <row r="12" spans="1:23" x14ac:dyDescent="0.2">
      <c r="A12" t="s">
        <v>45</v>
      </c>
      <c r="B12" t="s">
        <v>54</v>
      </c>
      <c r="C12" s="4"/>
      <c r="D12" s="1"/>
      <c r="E12" s="1"/>
      <c r="F12" s="1"/>
      <c r="G12" s="4">
        <v>2.4</v>
      </c>
      <c r="H12" s="1">
        <f t="shared" si="7"/>
        <v>4.3266615305567866</v>
      </c>
      <c r="I12" s="1">
        <f t="shared" si="1"/>
        <v>3.8418745424597094</v>
      </c>
      <c r="J12" s="1">
        <f t="shared" si="1"/>
        <v>3.1240998703626617</v>
      </c>
      <c r="K12" s="4">
        <v>2.8</v>
      </c>
      <c r="L12" s="1">
        <f t="shared" si="2"/>
        <v>4.1999999999999993</v>
      </c>
      <c r="M12" s="1">
        <f t="shared" si="2"/>
        <v>3.8</v>
      </c>
      <c r="N12" s="8">
        <f t="shared" si="2"/>
        <v>3.1999999999999997</v>
      </c>
      <c r="O12" s="10"/>
      <c r="P12" s="1"/>
      <c r="Q12" s="1"/>
      <c r="R12" s="1"/>
      <c r="S12" s="10">
        <f t="shared" si="11"/>
        <v>0.39999999999999991</v>
      </c>
      <c r="T12" s="1">
        <f t="shared" si="12"/>
        <v>-0.12666153055678731</v>
      </c>
      <c r="U12" s="1">
        <f t="shared" si="13"/>
        <v>-4.1874542459709563E-2</v>
      </c>
      <c r="V12" s="8">
        <f t="shared" si="14"/>
        <v>7.5900129637338054E-2</v>
      </c>
      <c r="W12" s="13" t="s">
        <v>43</v>
      </c>
    </row>
    <row r="13" spans="1:23" x14ac:dyDescent="0.2">
      <c r="A13" t="s">
        <v>46</v>
      </c>
      <c r="B13" t="s">
        <v>55</v>
      </c>
      <c r="C13" s="4"/>
      <c r="D13" s="1"/>
      <c r="E13" s="1"/>
      <c r="F13" s="1"/>
      <c r="G13" s="4">
        <v>2.6</v>
      </c>
      <c r="H13" s="1">
        <f t="shared" si="7"/>
        <v>4.440720662234904</v>
      </c>
      <c r="I13" s="1">
        <f t="shared" si="1"/>
        <v>3.9698866482558417</v>
      </c>
      <c r="J13" s="1">
        <f t="shared" si="1"/>
        <v>3.2802438933713454</v>
      </c>
      <c r="K13" s="4">
        <v>3</v>
      </c>
      <c r="L13" s="1">
        <f t="shared" si="2"/>
        <v>4.4000000000000004</v>
      </c>
      <c r="M13" s="1">
        <f t="shared" si="2"/>
        <v>4</v>
      </c>
      <c r="N13" s="8">
        <f t="shared" si="2"/>
        <v>3.4</v>
      </c>
      <c r="O13" s="10"/>
      <c r="P13" s="1"/>
      <c r="Q13" s="1"/>
      <c r="R13" s="1"/>
      <c r="S13" s="10">
        <f t="shared" si="11"/>
        <v>0.39999999999999991</v>
      </c>
      <c r="T13" s="1">
        <f t="shared" ref="T13" si="15">L13-H13</f>
        <v>-4.0720662234903671E-2</v>
      </c>
      <c r="U13" s="1">
        <f t="shared" ref="U13" si="16">M13-I13</f>
        <v>3.0113351744158301E-2</v>
      </c>
      <c r="V13" s="8">
        <f t="shared" ref="V13" si="17">N13-J13</f>
        <v>0.11975610662865455</v>
      </c>
      <c r="W13" s="13"/>
    </row>
    <row r="14" spans="1:23" x14ac:dyDescent="0.2">
      <c r="A14" t="s">
        <v>8</v>
      </c>
      <c r="B14" t="s">
        <v>56</v>
      </c>
      <c r="C14" s="4">
        <v>3</v>
      </c>
      <c r="D14" s="1">
        <f t="shared" si="6"/>
        <v>4.6861498055439927</v>
      </c>
      <c r="E14" s="1">
        <f t="shared" si="6"/>
        <v>4.2426406871192848</v>
      </c>
      <c r="F14" s="1">
        <f t="shared" si="6"/>
        <v>3.6055512754639891</v>
      </c>
      <c r="G14" s="4">
        <v>2.6</v>
      </c>
      <c r="H14" s="1">
        <f t="shared" si="7"/>
        <v>4.440720662234904</v>
      </c>
      <c r="I14" s="1">
        <f t="shared" si="1"/>
        <v>3.9698866482558417</v>
      </c>
      <c r="J14" s="1">
        <f t="shared" si="1"/>
        <v>3.2802438933713454</v>
      </c>
      <c r="K14" s="4">
        <v>3</v>
      </c>
      <c r="L14" s="1">
        <f t="shared" si="2"/>
        <v>4.4000000000000004</v>
      </c>
      <c r="M14" s="1">
        <f t="shared" si="2"/>
        <v>4</v>
      </c>
      <c r="N14" s="8">
        <f t="shared" si="2"/>
        <v>3.4</v>
      </c>
      <c r="O14" s="10">
        <f t="shared" si="3"/>
        <v>0</v>
      </c>
      <c r="P14" s="1">
        <f t="shared" si="8"/>
        <v>-0.28614980554399239</v>
      </c>
      <c r="Q14" s="1">
        <f t="shared" si="9"/>
        <v>-0.24264068711928477</v>
      </c>
      <c r="R14" s="1">
        <f t="shared" si="10"/>
        <v>-0.20555127546398921</v>
      </c>
      <c r="S14" s="10">
        <f t="shared" si="11"/>
        <v>0.39999999999999991</v>
      </c>
      <c r="T14" s="1">
        <f t="shared" si="12"/>
        <v>-4.0720662234903671E-2</v>
      </c>
      <c r="U14" s="1">
        <f t="shared" si="13"/>
        <v>3.0113351744158301E-2</v>
      </c>
      <c r="V14" s="8">
        <f t="shared" si="14"/>
        <v>0.11975610662865455</v>
      </c>
    </row>
    <row r="15" spans="1:23" x14ac:dyDescent="0.2">
      <c r="A15" t="s">
        <v>9</v>
      </c>
      <c r="B15" t="s">
        <v>57</v>
      </c>
      <c r="C15" s="4">
        <v>3</v>
      </c>
      <c r="D15" s="1">
        <f t="shared" si="6"/>
        <v>4.6861498055439927</v>
      </c>
      <c r="E15" s="1">
        <f t="shared" si="6"/>
        <v>4.2426406871192848</v>
      </c>
      <c r="F15" s="1">
        <f t="shared" si="6"/>
        <v>3.6055512754639891</v>
      </c>
      <c r="G15" s="4">
        <v>2.6</v>
      </c>
      <c r="H15" s="1">
        <f t="shared" si="7"/>
        <v>4.440720662234904</v>
      </c>
      <c r="I15" s="1">
        <f t="shared" si="1"/>
        <v>3.9698866482558417</v>
      </c>
      <c r="J15" s="1">
        <f t="shared" si="1"/>
        <v>3.2802438933713454</v>
      </c>
      <c r="K15" s="4">
        <v>3</v>
      </c>
      <c r="L15" s="1">
        <f t="shared" si="2"/>
        <v>4.4000000000000004</v>
      </c>
      <c r="M15" s="1">
        <f t="shared" si="2"/>
        <v>4</v>
      </c>
      <c r="N15" s="8">
        <f t="shared" si="2"/>
        <v>3.4</v>
      </c>
      <c r="O15" s="10">
        <f t="shared" si="3"/>
        <v>0</v>
      </c>
      <c r="P15" s="1">
        <f t="shared" si="8"/>
        <v>-0.28614980554399239</v>
      </c>
      <c r="Q15" s="1">
        <f t="shared" si="9"/>
        <v>-0.24264068711928477</v>
      </c>
      <c r="R15" s="1">
        <f t="shared" si="10"/>
        <v>-0.20555127546398921</v>
      </c>
      <c r="S15" s="10">
        <f t="shared" si="11"/>
        <v>0.39999999999999991</v>
      </c>
      <c r="T15" s="1">
        <f t="shared" si="12"/>
        <v>-4.0720662234903671E-2</v>
      </c>
      <c r="U15" s="1">
        <f t="shared" si="13"/>
        <v>3.0113351744158301E-2</v>
      </c>
      <c r="V15" s="8">
        <f t="shared" si="14"/>
        <v>0.11975610662865455</v>
      </c>
    </row>
    <row r="16" spans="1:23" x14ac:dyDescent="0.2">
      <c r="A16" t="s">
        <v>10</v>
      </c>
      <c r="B16" t="s">
        <v>58</v>
      </c>
      <c r="C16" s="4">
        <v>3</v>
      </c>
      <c r="D16" s="1">
        <f t="shared" si="6"/>
        <v>4.6861498055439927</v>
      </c>
      <c r="E16" s="1">
        <f t="shared" si="6"/>
        <v>4.2426406871192848</v>
      </c>
      <c r="F16" s="1">
        <f t="shared" si="6"/>
        <v>3.6055512754639891</v>
      </c>
      <c r="G16" s="4">
        <v>2.6</v>
      </c>
      <c r="H16" s="1">
        <f t="shared" si="7"/>
        <v>4.440720662234904</v>
      </c>
      <c r="I16" s="1">
        <f t="shared" si="1"/>
        <v>3.9698866482558417</v>
      </c>
      <c r="J16" s="1">
        <f t="shared" si="1"/>
        <v>3.2802438933713454</v>
      </c>
      <c r="K16" s="4">
        <v>3</v>
      </c>
      <c r="L16" s="1">
        <f t="shared" si="2"/>
        <v>4.4000000000000004</v>
      </c>
      <c r="M16" s="1">
        <f t="shared" si="2"/>
        <v>4</v>
      </c>
      <c r="N16" s="8">
        <f t="shared" si="2"/>
        <v>3.4</v>
      </c>
      <c r="O16" s="10">
        <f t="shared" si="3"/>
        <v>0</v>
      </c>
      <c r="P16" s="1">
        <f t="shared" si="8"/>
        <v>-0.28614980554399239</v>
      </c>
      <c r="Q16" s="1">
        <f t="shared" si="9"/>
        <v>-0.24264068711928477</v>
      </c>
      <c r="R16" s="1">
        <f t="shared" si="10"/>
        <v>-0.20555127546398921</v>
      </c>
      <c r="S16" s="10">
        <f t="shared" si="11"/>
        <v>0.39999999999999991</v>
      </c>
      <c r="T16" s="1">
        <f t="shared" si="12"/>
        <v>-4.0720662234903671E-2</v>
      </c>
      <c r="U16" s="1">
        <f t="shared" si="13"/>
        <v>3.0113351744158301E-2</v>
      </c>
      <c r="V16" s="8">
        <f t="shared" si="14"/>
        <v>0.11975610662865455</v>
      </c>
    </row>
    <row r="17" spans="1:22" x14ac:dyDescent="0.2">
      <c r="A17" t="s">
        <v>11</v>
      </c>
      <c r="B17" t="s">
        <v>59</v>
      </c>
      <c r="C17" s="4">
        <v>3</v>
      </c>
      <c r="D17" s="1">
        <f t="shared" si="6"/>
        <v>4.6861498055439927</v>
      </c>
      <c r="E17" s="1">
        <f t="shared" si="6"/>
        <v>4.2426406871192848</v>
      </c>
      <c r="F17" s="1">
        <f t="shared" si="6"/>
        <v>3.6055512754639891</v>
      </c>
      <c r="G17" s="4">
        <v>2.6</v>
      </c>
      <c r="H17" s="1">
        <f t="shared" si="7"/>
        <v>4.440720662234904</v>
      </c>
      <c r="I17" s="1">
        <f t="shared" si="1"/>
        <v>3.9698866482558417</v>
      </c>
      <c r="J17" s="1">
        <f t="shared" si="1"/>
        <v>3.2802438933713454</v>
      </c>
      <c r="K17" s="4">
        <v>3</v>
      </c>
      <c r="L17" s="1">
        <f t="shared" si="2"/>
        <v>4.4000000000000004</v>
      </c>
      <c r="M17" s="1">
        <f t="shared" si="2"/>
        <v>4</v>
      </c>
      <c r="N17" s="8">
        <f t="shared" si="2"/>
        <v>3.4</v>
      </c>
      <c r="O17" s="10">
        <f t="shared" si="3"/>
        <v>0</v>
      </c>
      <c r="P17" s="1">
        <f t="shared" si="8"/>
        <v>-0.28614980554399239</v>
      </c>
      <c r="Q17" s="1">
        <f t="shared" si="9"/>
        <v>-0.24264068711928477</v>
      </c>
      <c r="R17" s="1">
        <f t="shared" si="10"/>
        <v>-0.20555127546398921</v>
      </c>
      <c r="S17" s="10">
        <f t="shared" si="11"/>
        <v>0.39999999999999991</v>
      </c>
      <c r="T17" s="1">
        <f t="shared" si="12"/>
        <v>-4.0720662234903671E-2</v>
      </c>
      <c r="U17" s="1">
        <f t="shared" si="13"/>
        <v>3.0113351744158301E-2</v>
      </c>
      <c r="V17" s="8">
        <f t="shared" si="14"/>
        <v>0.11975610662865455</v>
      </c>
    </row>
    <row r="18" spans="1:22" x14ac:dyDescent="0.2">
      <c r="A18" t="s">
        <v>12</v>
      </c>
      <c r="B18" t="s">
        <v>60</v>
      </c>
      <c r="C18" s="4">
        <v>3</v>
      </c>
      <c r="D18" s="1">
        <f t="shared" si="6"/>
        <v>4.6861498055439927</v>
      </c>
      <c r="E18" s="1">
        <f t="shared" si="6"/>
        <v>4.2426406871192848</v>
      </c>
      <c r="F18" s="1">
        <f t="shared" si="6"/>
        <v>3.6055512754639891</v>
      </c>
      <c r="G18" s="4">
        <v>2.6</v>
      </c>
      <c r="H18" s="1">
        <f t="shared" si="7"/>
        <v>4.440720662234904</v>
      </c>
      <c r="I18" s="1">
        <f t="shared" si="1"/>
        <v>3.9698866482558417</v>
      </c>
      <c r="J18" s="1">
        <f t="shared" si="1"/>
        <v>3.2802438933713454</v>
      </c>
      <c r="K18" s="4">
        <v>3</v>
      </c>
      <c r="L18" s="1">
        <f t="shared" si="2"/>
        <v>4.4000000000000004</v>
      </c>
      <c r="M18" s="1">
        <f t="shared" si="2"/>
        <v>4</v>
      </c>
      <c r="N18" s="8">
        <f t="shared" si="2"/>
        <v>3.4</v>
      </c>
      <c r="O18" s="10">
        <f t="shared" si="3"/>
        <v>0</v>
      </c>
      <c r="P18" s="1">
        <f t="shared" si="8"/>
        <v>-0.28614980554399239</v>
      </c>
      <c r="Q18" s="1">
        <f t="shared" si="9"/>
        <v>-0.24264068711928477</v>
      </c>
      <c r="R18" s="1">
        <f t="shared" si="10"/>
        <v>-0.20555127546398921</v>
      </c>
      <c r="S18" s="10">
        <f t="shared" si="11"/>
        <v>0.39999999999999991</v>
      </c>
      <c r="T18" s="1">
        <f t="shared" si="12"/>
        <v>-4.0720662234903671E-2</v>
      </c>
      <c r="U18" s="1">
        <f t="shared" si="13"/>
        <v>3.0113351744158301E-2</v>
      </c>
      <c r="V18" s="8">
        <f t="shared" si="14"/>
        <v>0.11975610662865455</v>
      </c>
    </row>
    <row r="19" spans="1:22" x14ac:dyDescent="0.2">
      <c r="A19" t="s">
        <v>13</v>
      </c>
      <c r="B19" t="s">
        <v>61</v>
      </c>
      <c r="C19" s="4">
        <v>3</v>
      </c>
      <c r="D19" s="1">
        <f t="shared" si="6"/>
        <v>4.6861498055439927</v>
      </c>
      <c r="E19" s="1">
        <f t="shared" si="6"/>
        <v>4.2426406871192848</v>
      </c>
      <c r="F19" s="1">
        <f t="shared" si="6"/>
        <v>3.6055512754639891</v>
      </c>
      <c r="G19" s="4">
        <v>2.4</v>
      </c>
      <c r="H19" s="1">
        <f t="shared" si="7"/>
        <v>4.3266615305567866</v>
      </c>
      <c r="I19" s="1">
        <f t="shared" si="1"/>
        <v>3.8418745424597094</v>
      </c>
      <c r="J19" s="1">
        <f t="shared" si="1"/>
        <v>3.1240998703626617</v>
      </c>
      <c r="K19" s="4">
        <v>2.8</v>
      </c>
      <c r="L19" s="1">
        <f t="shared" si="2"/>
        <v>4.1999999999999993</v>
      </c>
      <c r="M19" s="1">
        <f t="shared" si="2"/>
        <v>3.8</v>
      </c>
      <c r="N19" s="8">
        <f t="shared" si="2"/>
        <v>3.1999999999999997</v>
      </c>
      <c r="O19" s="10">
        <f t="shared" si="3"/>
        <v>-0.20000000000000018</v>
      </c>
      <c r="P19" s="1">
        <f t="shared" si="8"/>
        <v>-0.48614980554399345</v>
      </c>
      <c r="Q19" s="1">
        <f t="shared" si="9"/>
        <v>-0.44264068711928495</v>
      </c>
      <c r="R19" s="1">
        <f t="shared" si="10"/>
        <v>-0.40555127546398939</v>
      </c>
      <c r="S19" s="10">
        <f t="shared" si="11"/>
        <v>0.39999999999999991</v>
      </c>
      <c r="T19" s="1">
        <f t="shared" si="12"/>
        <v>-0.12666153055678731</v>
      </c>
      <c r="U19" s="1">
        <f t="shared" si="13"/>
        <v>-4.1874542459709563E-2</v>
      </c>
      <c r="V19" s="8">
        <f t="shared" si="14"/>
        <v>7.5900129637338054E-2</v>
      </c>
    </row>
    <row r="20" spans="1:22" x14ac:dyDescent="0.2">
      <c r="A20" t="s">
        <v>14</v>
      </c>
      <c r="B20" t="s">
        <v>62</v>
      </c>
      <c r="C20" s="4">
        <v>3.2</v>
      </c>
      <c r="D20" s="1">
        <f t="shared" si="6"/>
        <v>4.8166378315169185</v>
      </c>
      <c r="E20" s="1">
        <f t="shared" si="6"/>
        <v>4.3863424398922621</v>
      </c>
      <c r="F20" s="1">
        <f t="shared" si="6"/>
        <v>3.7735924528226419</v>
      </c>
      <c r="G20" s="4">
        <v>3</v>
      </c>
      <c r="H20" s="1">
        <f t="shared" si="7"/>
        <v>4.6861498055439927</v>
      </c>
      <c r="I20" s="1">
        <f t="shared" si="1"/>
        <v>4.2426406871192848</v>
      </c>
      <c r="J20" s="1">
        <f t="shared" si="1"/>
        <v>3.6055512754639891</v>
      </c>
      <c r="K20" s="4">
        <v>3.25</v>
      </c>
      <c r="L20" s="1">
        <f t="shared" si="2"/>
        <v>4.6500000000000004</v>
      </c>
      <c r="M20" s="1">
        <f t="shared" si="2"/>
        <v>4.25</v>
      </c>
      <c r="N20" s="8">
        <f t="shared" si="2"/>
        <v>3.65</v>
      </c>
      <c r="O20" s="10">
        <f t="shared" si="3"/>
        <v>4.9999999999999822E-2</v>
      </c>
      <c r="P20" s="1">
        <f t="shared" si="8"/>
        <v>-0.16663783151691813</v>
      </c>
      <c r="Q20" s="1">
        <f t="shared" si="9"/>
        <v>-0.13634243989226214</v>
      </c>
      <c r="R20" s="1">
        <f t="shared" si="10"/>
        <v>-0.12359245282264197</v>
      </c>
      <c r="S20" s="10">
        <f t="shared" si="11"/>
        <v>0.25</v>
      </c>
      <c r="T20" s="1">
        <f t="shared" si="12"/>
        <v>-3.6149805543992386E-2</v>
      </c>
      <c r="U20" s="1">
        <f t="shared" si="13"/>
        <v>7.3593128807152297E-3</v>
      </c>
      <c r="V20" s="8">
        <f t="shared" si="14"/>
        <v>4.4448724536010786E-2</v>
      </c>
    </row>
    <row r="21" spans="1:22" x14ac:dyDescent="0.2">
      <c r="A21" t="s">
        <v>15</v>
      </c>
      <c r="B21" t="s">
        <v>63</v>
      </c>
      <c r="C21" s="4">
        <v>4</v>
      </c>
      <c r="D21" s="1">
        <f t="shared" si="6"/>
        <v>5.3814496188294845</v>
      </c>
      <c r="E21" s="1">
        <f t="shared" si="6"/>
        <v>5</v>
      </c>
      <c r="F21" s="1">
        <f t="shared" si="6"/>
        <v>4.4721359549995796</v>
      </c>
      <c r="G21" s="4">
        <v>4</v>
      </c>
      <c r="H21" s="1">
        <f t="shared" si="7"/>
        <v>5.3814496188294845</v>
      </c>
      <c r="I21" s="1">
        <f t="shared" si="1"/>
        <v>5</v>
      </c>
      <c r="J21" s="1">
        <f t="shared" si="1"/>
        <v>4.4721359549995796</v>
      </c>
      <c r="K21" s="4">
        <v>4</v>
      </c>
      <c r="L21" s="1">
        <f t="shared" si="2"/>
        <v>5.4</v>
      </c>
      <c r="M21" s="1">
        <f t="shared" si="2"/>
        <v>5</v>
      </c>
      <c r="N21" s="8">
        <f t="shared" si="2"/>
        <v>4.4000000000000004</v>
      </c>
      <c r="O21" s="10">
        <f t="shared" si="3"/>
        <v>0</v>
      </c>
      <c r="P21" s="1">
        <f t="shared" si="8"/>
        <v>1.8550381170515884E-2</v>
      </c>
      <c r="Q21" s="1">
        <f t="shared" si="9"/>
        <v>0</v>
      </c>
      <c r="R21" s="1">
        <f t="shared" si="10"/>
        <v>-7.2135954999579255E-2</v>
      </c>
      <c r="S21" s="10">
        <f t="shared" si="11"/>
        <v>0</v>
      </c>
      <c r="T21" s="1">
        <f t="shared" si="12"/>
        <v>1.8550381170515884E-2</v>
      </c>
      <c r="U21" s="1">
        <f t="shared" si="13"/>
        <v>0</v>
      </c>
      <c r="V21" s="8">
        <f t="shared" si="14"/>
        <v>-7.2135954999579255E-2</v>
      </c>
    </row>
    <row r="22" spans="1:22" x14ac:dyDescent="0.2">
      <c r="A22" t="s">
        <v>16</v>
      </c>
      <c r="B22" t="s">
        <v>64</v>
      </c>
      <c r="C22" s="4">
        <v>4</v>
      </c>
      <c r="D22" s="1">
        <f t="shared" si="6"/>
        <v>5.3814496188294845</v>
      </c>
      <c r="E22" s="1">
        <f t="shared" si="6"/>
        <v>5</v>
      </c>
      <c r="F22" s="1">
        <f t="shared" si="6"/>
        <v>4.4721359549995796</v>
      </c>
      <c r="G22" s="4">
        <v>4</v>
      </c>
      <c r="H22" s="1">
        <f t="shared" si="7"/>
        <v>5.3814496188294845</v>
      </c>
      <c r="I22" s="1">
        <f t="shared" si="1"/>
        <v>5</v>
      </c>
      <c r="J22" s="1">
        <f t="shared" si="1"/>
        <v>4.4721359549995796</v>
      </c>
      <c r="K22" s="4">
        <v>4</v>
      </c>
      <c r="L22" s="1">
        <f t="shared" si="2"/>
        <v>5.4</v>
      </c>
      <c r="M22" s="1">
        <f t="shared" si="2"/>
        <v>5</v>
      </c>
      <c r="N22" s="8">
        <f t="shared" si="2"/>
        <v>4.4000000000000004</v>
      </c>
      <c r="O22" s="10">
        <f t="shared" si="3"/>
        <v>0</v>
      </c>
      <c r="P22" s="1">
        <f t="shared" si="8"/>
        <v>1.8550381170515884E-2</v>
      </c>
      <c r="Q22" s="1">
        <f t="shared" si="9"/>
        <v>0</v>
      </c>
      <c r="R22" s="1">
        <f t="shared" si="10"/>
        <v>-7.2135954999579255E-2</v>
      </c>
      <c r="S22" s="10">
        <f t="shared" si="11"/>
        <v>0</v>
      </c>
      <c r="T22" s="1">
        <f t="shared" si="12"/>
        <v>1.8550381170515884E-2</v>
      </c>
      <c r="U22" s="1">
        <f t="shared" si="13"/>
        <v>0</v>
      </c>
      <c r="V22" s="8">
        <f t="shared" si="14"/>
        <v>-7.2135954999579255E-2</v>
      </c>
    </row>
    <row r="23" spans="1:22" x14ac:dyDescent="0.2">
      <c r="A23" t="s">
        <v>17</v>
      </c>
      <c r="B23" t="s">
        <v>65</v>
      </c>
      <c r="C23" s="4">
        <v>4</v>
      </c>
      <c r="D23" s="1">
        <f t="shared" si="6"/>
        <v>5.3814496188294845</v>
      </c>
      <c r="E23" s="1">
        <f t="shared" si="6"/>
        <v>5</v>
      </c>
      <c r="F23" s="1">
        <f t="shared" si="6"/>
        <v>4.4721359549995796</v>
      </c>
      <c r="G23" s="4">
        <v>4</v>
      </c>
      <c r="H23" s="1">
        <f t="shared" si="7"/>
        <v>5.3814496188294845</v>
      </c>
      <c r="I23" s="1">
        <f t="shared" si="1"/>
        <v>5</v>
      </c>
      <c r="J23" s="1">
        <f t="shared" si="1"/>
        <v>4.4721359549995796</v>
      </c>
      <c r="K23" s="4">
        <v>4</v>
      </c>
      <c r="L23" s="1">
        <f t="shared" si="2"/>
        <v>5.4</v>
      </c>
      <c r="M23" s="1">
        <f t="shared" si="2"/>
        <v>5</v>
      </c>
      <c r="N23" s="8">
        <f t="shared" si="2"/>
        <v>4.4000000000000004</v>
      </c>
      <c r="O23" s="10">
        <f t="shared" si="3"/>
        <v>0</v>
      </c>
      <c r="P23" s="1">
        <f t="shared" si="8"/>
        <v>1.8550381170515884E-2</v>
      </c>
      <c r="Q23" s="1">
        <f t="shared" si="9"/>
        <v>0</v>
      </c>
      <c r="R23" s="1">
        <f t="shared" si="10"/>
        <v>-7.2135954999579255E-2</v>
      </c>
      <c r="S23" s="10">
        <f t="shared" si="11"/>
        <v>0</v>
      </c>
      <c r="T23" s="1">
        <f t="shared" si="12"/>
        <v>1.8550381170515884E-2</v>
      </c>
      <c r="U23" s="1">
        <f t="shared" si="13"/>
        <v>0</v>
      </c>
      <c r="V23" s="8">
        <f t="shared" si="14"/>
        <v>-7.2135954999579255E-2</v>
      </c>
    </row>
    <row r="24" spans="1:22" x14ac:dyDescent="0.2">
      <c r="A24" t="s">
        <v>18</v>
      </c>
      <c r="B24" t="s">
        <v>67</v>
      </c>
      <c r="C24" s="4">
        <v>4</v>
      </c>
      <c r="D24" s="1">
        <f t="shared" si="6"/>
        <v>5.3814496188294845</v>
      </c>
      <c r="E24" s="1">
        <f t="shared" si="6"/>
        <v>5</v>
      </c>
      <c r="F24" s="1">
        <f t="shared" si="6"/>
        <v>4.4721359549995796</v>
      </c>
      <c r="G24" s="4">
        <v>4</v>
      </c>
      <c r="H24" s="1">
        <f t="shared" si="7"/>
        <v>5.3814496188294845</v>
      </c>
      <c r="I24" s="1">
        <f t="shared" si="1"/>
        <v>5</v>
      </c>
      <c r="J24" s="1">
        <f t="shared" si="1"/>
        <v>4.4721359549995796</v>
      </c>
      <c r="K24" s="4">
        <v>4</v>
      </c>
      <c r="L24" s="1">
        <f t="shared" si="2"/>
        <v>5.4</v>
      </c>
      <c r="M24" s="1">
        <f t="shared" si="2"/>
        <v>5</v>
      </c>
      <c r="N24" s="8">
        <f t="shared" si="2"/>
        <v>4.4000000000000004</v>
      </c>
      <c r="O24" s="10">
        <f t="shared" si="3"/>
        <v>0</v>
      </c>
      <c r="P24" s="1">
        <f t="shared" si="8"/>
        <v>1.8550381170515884E-2</v>
      </c>
      <c r="Q24" s="1">
        <f t="shared" si="9"/>
        <v>0</v>
      </c>
      <c r="R24" s="1">
        <f t="shared" si="10"/>
        <v>-7.2135954999579255E-2</v>
      </c>
      <c r="S24" s="10">
        <f t="shared" si="11"/>
        <v>0</v>
      </c>
      <c r="T24" s="1">
        <f t="shared" si="12"/>
        <v>1.8550381170515884E-2</v>
      </c>
      <c r="U24" s="1">
        <f t="shared" si="13"/>
        <v>0</v>
      </c>
      <c r="V24" s="8">
        <f t="shared" si="14"/>
        <v>-7.2135954999579255E-2</v>
      </c>
    </row>
    <row r="25" spans="1:22" x14ac:dyDescent="0.2">
      <c r="A25" t="s">
        <v>19</v>
      </c>
      <c r="B25" t="s">
        <v>66</v>
      </c>
      <c r="C25" s="4">
        <v>8</v>
      </c>
      <c r="D25" s="1">
        <f t="shared" si="6"/>
        <v>8.7726848797845243</v>
      </c>
      <c r="E25" s="1">
        <f t="shared" si="6"/>
        <v>8.5440037453175304</v>
      </c>
      <c r="F25" s="1">
        <f t="shared" si="6"/>
        <v>8.2462112512353212</v>
      </c>
      <c r="G25" s="4">
        <v>8.5</v>
      </c>
      <c r="H25" s="1">
        <f t="shared" si="7"/>
        <v>9.2309262807152788</v>
      </c>
      <c r="I25" s="1">
        <f t="shared" si="7"/>
        <v>9.013878188659973</v>
      </c>
      <c r="J25" s="1">
        <f t="shared" si="7"/>
        <v>8.7321245982864895</v>
      </c>
      <c r="K25" s="4">
        <v>8</v>
      </c>
      <c r="L25" s="1">
        <f t="shared" si="2"/>
        <v>9.4</v>
      </c>
      <c r="M25" s="1">
        <f t="shared" si="2"/>
        <v>9</v>
      </c>
      <c r="N25" s="8">
        <f t="shared" si="2"/>
        <v>8.4</v>
      </c>
      <c r="O25" s="10">
        <f t="shared" si="3"/>
        <v>0</v>
      </c>
      <c r="P25" s="1">
        <f t="shared" si="8"/>
        <v>0.62731512021547609</v>
      </c>
      <c r="Q25" s="1">
        <f t="shared" si="9"/>
        <v>0.45599625468246963</v>
      </c>
      <c r="R25" s="1">
        <f t="shared" si="10"/>
        <v>0.15378874876467918</v>
      </c>
      <c r="S25" s="10">
        <f t="shared" si="11"/>
        <v>-0.5</v>
      </c>
      <c r="T25" s="1">
        <f t="shared" si="12"/>
        <v>0.16907371928472159</v>
      </c>
      <c r="U25" s="1">
        <f t="shared" si="13"/>
        <v>-1.3878188659973034E-2</v>
      </c>
      <c r="V25" s="8">
        <f t="shared" si="14"/>
        <v>-0.3321245982864891</v>
      </c>
    </row>
    <row r="26" spans="1:22" x14ac:dyDescent="0.2">
      <c r="A26" t="s">
        <v>20</v>
      </c>
      <c r="B26" t="s">
        <v>68</v>
      </c>
      <c r="C26" s="4">
        <v>5</v>
      </c>
      <c r="D26" s="1">
        <f t="shared" si="6"/>
        <v>6.1611687202997452</v>
      </c>
      <c r="E26" s="1">
        <f t="shared" si="6"/>
        <v>5.8309518948453007</v>
      </c>
      <c r="F26" s="1">
        <f t="shared" si="6"/>
        <v>5.3851648071345037</v>
      </c>
      <c r="G26" s="4">
        <v>6</v>
      </c>
      <c r="H26" s="1">
        <f t="shared" si="7"/>
        <v>6.9971422738143607</v>
      </c>
      <c r="I26" s="1">
        <f t="shared" si="7"/>
        <v>6.7082039324993694</v>
      </c>
      <c r="J26" s="1">
        <f t="shared" si="7"/>
        <v>6.324555320336759</v>
      </c>
      <c r="K26" s="4">
        <v>5.7</v>
      </c>
      <c r="L26" s="1">
        <f t="shared" si="2"/>
        <v>7.1</v>
      </c>
      <c r="M26" s="1">
        <f t="shared" si="2"/>
        <v>6.7</v>
      </c>
      <c r="N26" s="8">
        <f t="shared" si="2"/>
        <v>6.1000000000000005</v>
      </c>
      <c r="O26" s="10">
        <f t="shared" si="3"/>
        <v>0.70000000000000018</v>
      </c>
      <c r="P26" s="1">
        <f t="shared" si="8"/>
        <v>0.93883127970025448</v>
      </c>
      <c r="Q26" s="1">
        <f t="shared" si="9"/>
        <v>0.86904810515469944</v>
      </c>
      <c r="R26" s="1">
        <f t="shared" si="10"/>
        <v>0.71483519286549679</v>
      </c>
      <c r="S26" s="10">
        <f t="shared" si="11"/>
        <v>-0.29999999999999982</v>
      </c>
      <c r="T26" s="1">
        <f t="shared" si="12"/>
        <v>0.10285772618563893</v>
      </c>
      <c r="U26" s="1">
        <f t="shared" si="13"/>
        <v>-8.2039324993692375E-3</v>
      </c>
      <c r="V26" s="8">
        <f t="shared" si="14"/>
        <v>-0.22455532033675851</v>
      </c>
    </row>
    <row r="27" spans="1:22" x14ac:dyDescent="0.2">
      <c r="A27" t="s">
        <v>21</v>
      </c>
      <c r="B27" t="s">
        <v>69</v>
      </c>
      <c r="C27" s="4">
        <v>8</v>
      </c>
      <c r="D27" s="1">
        <f t="shared" si="6"/>
        <v>8.7726848797845243</v>
      </c>
      <c r="E27" s="1">
        <f t="shared" si="6"/>
        <v>8.5440037453175304</v>
      </c>
      <c r="F27" s="1">
        <f t="shared" si="6"/>
        <v>8.2462112512353212</v>
      </c>
      <c r="G27" s="4">
        <v>8.5</v>
      </c>
      <c r="H27" s="1">
        <f t="shared" si="7"/>
        <v>9.2309262807152788</v>
      </c>
      <c r="I27" s="1">
        <f t="shared" si="7"/>
        <v>9.013878188659973</v>
      </c>
      <c r="J27" s="1">
        <f t="shared" si="7"/>
        <v>8.7321245982864895</v>
      </c>
      <c r="K27" s="4">
        <v>8</v>
      </c>
      <c r="L27" s="1">
        <f t="shared" si="2"/>
        <v>9.4</v>
      </c>
      <c r="M27" s="1">
        <f t="shared" si="2"/>
        <v>9</v>
      </c>
      <c r="N27" s="8">
        <f t="shared" si="2"/>
        <v>8.4</v>
      </c>
      <c r="O27" s="10">
        <f t="shared" si="3"/>
        <v>0</v>
      </c>
      <c r="P27" s="1">
        <f t="shared" si="8"/>
        <v>0.62731512021547609</v>
      </c>
      <c r="Q27" s="1">
        <f t="shared" si="9"/>
        <v>0.45599625468246963</v>
      </c>
      <c r="R27" s="1">
        <f t="shared" si="10"/>
        <v>0.15378874876467918</v>
      </c>
      <c r="S27" s="10">
        <f t="shared" si="11"/>
        <v>-0.5</v>
      </c>
      <c r="T27" s="1">
        <f t="shared" si="12"/>
        <v>0.16907371928472159</v>
      </c>
      <c r="U27" s="1">
        <f t="shared" si="13"/>
        <v>-1.3878188659973034E-2</v>
      </c>
      <c r="V27" s="8">
        <f t="shared" si="14"/>
        <v>-0.3321245982864891</v>
      </c>
    </row>
    <row r="28" spans="1:22" x14ac:dyDescent="0.2">
      <c r="A28" t="s">
        <v>22</v>
      </c>
      <c r="B28" t="s">
        <v>70</v>
      </c>
      <c r="C28" s="4">
        <v>8</v>
      </c>
      <c r="D28" s="1">
        <f t="shared" si="6"/>
        <v>8.7726848797845243</v>
      </c>
      <c r="E28" s="1">
        <f t="shared" si="6"/>
        <v>8.5440037453175304</v>
      </c>
      <c r="F28" s="1">
        <f t="shared" si="6"/>
        <v>8.2462112512353212</v>
      </c>
      <c r="G28" s="4">
        <v>8.5</v>
      </c>
      <c r="H28" s="1">
        <f t="shared" si="7"/>
        <v>9.2309262807152788</v>
      </c>
      <c r="I28" s="1">
        <f t="shared" si="7"/>
        <v>9.013878188659973</v>
      </c>
      <c r="J28" s="1">
        <f t="shared" si="7"/>
        <v>8.7321245982864895</v>
      </c>
      <c r="K28" s="4">
        <v>8</v>
      </c>
      <c r="L28" s="1">
        <f t="shared" si="2"/>
        <v>9.4</v>
      </c>
      <c r="M28" s="1">
        <f t="shared" si="2"/>
        <v>9</v>
      </c>
      <c r="N28" s="8">
        <f t="shared" si="2"/>
        <v>8.4</v>
      </c>
      <c r="O28" s="10">
        <f t="shared" si="3"/>
        <v>0</v>
      </c>
      <c r="P28" s="1">
        <f t="shared" si="8"/>
        <v>0.62731512021547609</v>
      </c>
      <c r="Q28" s="1">
        <f t="shared" si="9"/>
        <v>0.45599625468246963</v>
      </c>
      <c r="R28" s="1">
        <f t="shared" si="10"/>
        <v>0.15378874876467918</v>
      </c>
      <c r="S28" s="10">
        <f t="shared" si="11"/>
        <v>-0.5</v>
      </c>
      <c r="T28" s="1">
        <f t="shared" si="12"/>
        <v>0.16907371928472159</v>
      </c>
      <c r="U28" s="1">
        <f t="shared" si="13"/>
        <v>-1.3878188659973034E-2</v>
      </c>
      <c r="V28" s="8">
        <f t="shared" si="14"/>
        <v>-0.3321245982864891</v>
      </c>
    </row>
    <row r="29" spans="1:22" x14ac:dyDescent="0.2">
      <c r="A29" t="s">
        <v>23</v>
      </c>
      <c r="B29" t="s">
        <v>71</v>
      </c>
      <c r="C29" s="4">
        <v>8</v>
      </c>
      <c r="D29" s="1">
        <f t="shared" si="6"/>
        <v>8.7726848797845243</v>
      </c>
      <c r="E29" s="1">
        <f t="shared" si="6"/>
        <v>8.5440037453175304</v>
      </c>
      <c r="F29" s="1">
        <f t="shared" si="6"/>
        <v>8.2462112512353212</v>
      </c>
      <c r="G29" s="4">
        <v>11</v>
      </c>
      <c r="H29" s="1">
        <f t="shared" si="7"/>
        <v>11.574109036984229</v>
      </c>
      <c r="I29" s="1">
        <f t="shared" si="7"/>
        <v>11.401754250991379</v>
      </c>
      <c r="J29" s="1">
        <f t="shared" si="7"/>
        <v>11.180339887498949</v>
      </c>
      <c r="K29" s="4">
        <v>10.4</v>
      </c>
      <c r="L29" s="1">
        <f t="shared" si="2"/>
        <v>11.8</v>
      </c>
      <c r="M29" s="1">
        <f t="shared" si="2"/>
        <v>11.4</v>
      </c>
      <c r="N29" s="8">
        <f t="shared" si="2"/>
        <v>10.8</v>
      </c>
      <c r="O29" s="10">
        <f t="shared" si="3"/>
        <v>2.4000000000000004</v>
      </c>
      <c r="P29" s="1">
        <f t="shared" si="8"/>
        <v>3.0273151202154764</v>
      </c>
      <c r="Q29" s="1">
        <f t="shared" si="9"/>
        <v>2.85599625468247</v>
      </c>
      <c r="R29" s="1">
        <f t="shared" si="10"/>
        <v>2.5537887487646795</v>
      </c>
      <c r="S29" s="10">
        <f t="shared" si="11"/>
        <v>-0.59999999999999964</v>
      </c>
      <c r="T29" s="1">
        <f t="shared" si="12"/>
        <v>0.22589096301577172</v>
      </c>
      <c r="U29" s="1">
        <f t="shared" si="13"/>
        <v>-1.7542509913788251E-3</v>
      </c>
      <c r="V29" s="8">
        <f t="shared" si="14"/>
        <v>-0.38033988749894831</v>
      </c>
    </row>
    <row r="30" spans="1:22" x14ac:dyDescent="0.2">
      <c r="A30" t="s">
        <v>24</v>
      </c>
      <c r="B30" t="s">
        <v>72</v>
      </c>
      <c r="C30" s="4">
        <v>16</v>
      </c>
      <c r="D30" s="1">
        <f t="shared" si="6"/>
        <v>16.399999999999999</v>
      </c>
      <c r="E30" s="1">
        <f t="shared" si="6"/>
        <v>16.278820596099706</v>
      </c>
      <c r="F30" s="1">
        <f t="shared" si="6"/>
        <v>16.124515496597098</v>
      </c>
      <c r="G30" s="4">
        <v>15.7</v>
      </c>
      <c r="H30" s="1">
        <f t="shared" si="7"/>
        <v>16.107451691686055</v>
      </c>
      <c r="I30" s="1">
        <f t="shared" si="7"/>
        <v>15.984054554461455</v>
      </c>
      <c r="J30" s="1">
        <f t="shared" si="7"/>
        <v>15.826875876179733</v>
      </c>
      <c r="K30" s="4">
        <v>15</v>
      </c>
      <c r="L30" s="1">
        <f t="shared" si="2"/>
        <v>16.399999999999999</v>
      </c>
      <c r="M30" s="1">
        <f t="shared" si="2"/>
        <v>16</v>
      </c>
      <c r="N30" s="8">
        <f t="shared" si="2"/>
        <v>15.4</v>
      </c>
      <c r="O30" s="10">
        <f t="shared" si="3"/>
        <v>-1</v>
      </c>
      <c r="P30" s="1">
        <f t="shared" si="8"/>
        <v>0</v>
      </c>
      <c r="Q30" s="1">
        <f t="shared" si="9"/>
        <v>-0.27882059609970611</v>
      </c>
      <c r="R30" s="1">
        <f t="shared" si="10"/>
        <v>-0.72451549659709791</v>
      </c>
      <c r="S30" s="10">
        <f t="shared" si="11"/>
        <v>-0.69999999999999929</v>
      </c>
      <c r="T30" s="1">
        <f t="shared" si="12"/>
        <v>0.29254830831394329</v>
      </c>
      <c r="U30" s="1">
        <f t="shared" si="13"/>
        <v>1.5945445538545044E-2</v>
      </c>
      <c r="V30" s="8">
        <f t="shared" si="14"/>
        <v>-0.42687587617973222</v>
      </c>
    </row>
    <row r="31" spans="1:22" x14ac:dyDescent="0.2">
      <c r="A31" t="s">
        <v>25</v>
      </c>
      <c r="B31" t="s">
        <v>74</v>
      </c>
      <c r="C31" s="4">
        <v>3</v>
      </c>
      <c r="D31" s="1">
        <f t="shared" si="6"/>
        <v>4.6861498055439927</v>
      </c>
      <c r="E31" s="1">
        <f t="shared" si="6"/>
        <v>4.2426406871192848</v>
      </c>
      <c r="F31" s="1">
        <f t="shared" si="6"/>
        <v>3.6055512754639891</v>
      </c>
      <c r="G31" s="4">
        <v>3</v>
      </c>
      <c r="H31" s="1">
        <f t="shared" si="7"/>
        <v>4.6861498055439927</v>
      </c>
      <c r="I31" s="1">
        <f t="shared" si="7"/>
        <v>4.2426406871192848</v>
      </c>
      <c r="J31" s="1">
        <f t="shared" si="7"/>
        <v>3.6055512754639891</v>
      </c>
      <c r="K31" s="4">
        <v>3.25</v>
      </c>
      <c r="L31" s="1">
        <f t="shared" si="2"/>
        <v>4.6500000000000004</v>
      </c>
      <c r="M31" s="1">
        <f t="shared" si="2"/>
        <v>4.25</v>
      </c>
      <c r="N31" s="8">
        <f t="shared" si="2"/>
        <v>3.65</v>
      </c>
      <c r="O31" s="10">
        <f t="shared" si="3"/>
        <v>0.25</v>
      </c>
      <c r="P31" s="1">
        <f t="shared" si="8"/>
        <v>-3.6149805543992386E-2</v>
      </c>
      <c r="Q31" s="1">
        <f t="shared" si="9"/>
        <v>7.3593128807152297E-3</v>
      </c>
      <c r="R31" s="1">
        <f t="shared" si="10"/>
        <v>4.4448724536010786E-2</v>
      </c>
      <c r="S31" s="10">
        <f t="shared" si="11"/>
        <v>0.25</v>
      </c>
      <c r="T31" s="1">
        <f t="shared" si="12"/>
        <v>-3.6149805543992386E-2</v>
      </c>
      <c r="U31" s="1">
        <f t="shared" si="13"/>
        <v>7.3593128807152297E-3</v>
      </c>
      <c r="V31" s="8">
        <f t="shared" si="14"/>
        <v>4.4448724536010786E-2</v>
      </c>
    </row>
    <row r="32" spans="1:22" x14ac:dyDescent="0.2">
      <c r="A32" t="s">
        <v>26</v>
      </c>
      <c r="B32" t="s">
        <v>73</v>
      </c>
      <c r="C32" s="4">
        <v>3</v>
      </c>
      <c r="D32" s="1">
        <f t="shared" si="6"/>
        <v>4.6861498055439927</v>
      </c>
      <c r="E32" s="1">
        <f t="shared" si="6"/>
        <v>4.2426406871192848</v>
      </c>
      <c r="F32" s="1">
        <f t="shared" si="6"/>
        <v>3.6055512754639891</v>
      </c>
      <c r="G32" s="4">
        <v>3</v>
      </c>
      <c r="H32" s="1">
        <f t="shared" si="7"/>
        <v>4.6861498055439927</v>
      </c>
      <c r="I32" s="1">
        <f t="shared" si="7"/>
        <v>4.2426406871192848</v>
      </c>
      <c r="J32" s="1">
        <f t="shared" si="7"/>
        <v>3.6055512754639891</v>
      </c>
      <c r="K32" s="4">
        <v>3.25</v>
      </c>
      <c r="L32" s="1">
        <f t="shared" si="2"/>
        <v>4.6500000000000004</v>
      </c>
      <c r="M32" s="1">
        <f t="shared" si="2"/>
        <v>4.25</v>
      </c>
      <c r="N32" s="8">
        <f t="shared" si="2"/>
        <v>3.65</v>
      </c>
      <c r="O32" s="10">
        <f t="shared" si="3"/>
        <v>0.25</v>
      </c>
      <c r="P32" s="1">
        <f t="shared" si="8"/>
        <v>-3.6149805543992386E-2</v>
      </c>
      <c r="Q32" s="1">
        <f t="shared" si="9"/>
        <v>7.3593128807152297E-3</v>
      </c>
      <c r="R32" s="1">
        <f t="shared" si="10"/>
        <v>4.4448724536010786E-2</v>
      </c>
      <c r="S32" s="10">
        <f t="shared" si="11"/>
        <v>0.25</v>
      </c>
      <c r="T32" s="1">
        <f t="shared" si="12"/>
        <v>-3.6149805543992386E-2</v>
      </c>
      <c r="U32" s="1">
        <f t="shared" si="13"/>
        <v>7.3593128807152297E-3</v>
      </c>
      <c r="V32" s="8">
        <f t="shared" si="14"/>
        <v>4.4448724536010786E-2</v>
      </c>
    </row>
    <row r="33" spans="1:23" x14ac:dyDescent="0.2">
      <c r="A33" t="s">
        <v>27</v>
      </c>
      <c r="B33" t="s">
        <v>75</v>
      </c>
      <c r="C33" s="4">
        <v>4</v>
      </c>
      <c r="D33" s="1">
        <f t="shared" si="6"/>
        <v>5.3814496188294845</v>
      </c>
      <c r="E33" s="1">
        <f t="shared" si="6"/>
        <v>5</v>
      </c>
      <c r="F33" s="1">
        <f t="shared" si="6"/>
        <v>4.4721359549995796</v>
      </c>
      <c r="G33" s="4">
        <v>4</v>
      </c>
      <c r="H33" s="1">
        <f t="shared" si="7"/>
        <v>5.3814496188294845</v>
      </c>
      <c r="I33" s="1">
        <f t="shared" si="7"/>
        <v>5</v>
      </c>
      <c r="J33" s="1">
        <f t="shared" si="7"/>
        <v>4.4721359549995796</v>
      </c>
      <c r="K33" s="4">
        <v>4</v>
      </c>
      <c r="L33" s="1">
        <f t="shared" si="2"/>
        <v>5.4</v>
      </c>
      <c r="M33" s="1">
        <f t="shared" si="2"/>
        <v>5</v>
      </c>
      <c r="N33" s="8">
        <f t="shared" si="2"/>
        <v>4.4000000000000004</v>
      </c>
      <c r="O33" s="10">
        <f t="shared" si="3"/>
        <v>0</v>
      </c>
      <c r="P33" s="1">
        <f t="shared" si="8"/>
        <v>1.8550381170515884E-2</v>
      </c>
      <c r="Q33" s="1">
        <f t="shared" si="9"/>
        <v>0</v>
      </c>
      <c r="R33" s="1">
        <f t="shared" si="10"/>
        <v>-7.2135954999579255E-2</v>
      </c>
      <c r="S33" s="10">
        <f t="shared" si="11"/>
        <v>0</v>
      </c>
      <c r="T33" s="1">
        <f t="shared" si="12"/>
        <v>1.8550381170515884E-2</v>
      </c>
      <c r="U33" s="1">
        <f t="shared" si="13"/>
        <v>0</v>
      </c>
      <c r="V33" s="8">
        <f t="shared" si="14"/>
        <v>-7.2135954999579255E-2</v>
      </c>
    </row>
    <row r="34" spans="1:23" x14ac:dyDescent="0.2">
      <c r="A34" t="s">
        <v>28</v>
      </c>
      <c r="B34" t="s">
        <v>77</v>
      </c>
      <c r="C34" s="4">
        <v>2</v>
      </c>
      <c r="D34" s="1">
        <f t="shared" si="6"/>
        <v>4.1182520563948</v>
      </c>
      <c r="E34" s="1">
        <f t="shared" si="6"/>
        <v>3.6055512754639891</v>
      </c>
      <c r="F34" s="1">
        <f t="shared" si="6"/>
        <v>2.8284271247461903</v>
      </c>
      <c r="G34" s="4"/>
      <c r="H34" s="1"/>
      <c r="I34" s="1"/>
      <c r="J34" s="1"/>
      <c r="K34" s="4"/>
      <c r="L34" s="1"/>
      <c r="M34" s="1"/>
      <c r="N34" s="8"/>
      <c r="O34" s="10"/>
      <c r="P34" s="1"/>
      <c r="Q34" s="1"/>
      <c r="R34" s="1"/>
      <c r="S34" s="10"/>
      <c r="T34" s="1"/>
      <c r="U34" s="1"/>
      <c r="V34" s="8"/>
    </row>
    <row r="35" spans="1:23" x14ac:dyDescent="0.2">
      <c r="A35" t="s">
        <v>29</v>
      </c>
      <c r="B35" t="s">
        <v>78</v>
      </c>
      <c r="C35" s="4">
        <v>4</v>
      </c>
      <c r="D35" s="1">
        <f t="shared" si="6"/>
        <v>5.3814496188294845</v>
      </c>
      <c r="E35" s="1">
        <f t="shared" si="6"/>
        <v>5</v>
      </c>
      <c r="F35" s="1">
        <f t="shared" si="6"/>
        <v>4.4721359549995796</v>
      </c>
      <c r="G35" s="4">
        <v>4</v>
      </c>
      <c r="H35" s="1">
        <f t="shared" si="7"/>
        <v>5.3814496188294845</v>
      </c>
      <c r="I35" s="1">
        <f t="shared" si="7"/>
        <v>5</v>
      </c>
      <c r="J35" s="1">
        <f t="shared" si="7"/>
        <v>4.4721359549995796</v>
      </c>
      <c r="K35" s="4">
        <v>4</v>
      </c>
      <c r="L35" s="1">
        <f t="shared" ref="L35:N41" si="18">$K35+L$6</f>
        <v>5.4</v>
      </c>
      <c r="M35" s="1">
        <f t="shared" si="18"/>
        <v>5</v>
      </c>
      <c r="N35" s="8">
        <f t="shared" si="18"/>
        <v>4.4000000000000004</v>
      </c>
      <c r="O35" s="10">
        <f>$K35-$C35</f>
        <v>0</v>
      </c>
      <c r="P35" s="1">
        <f t="shared" si="8"/>
        <v>1.8550381170515884E-2</v>
      </c>
      <c r="Q35" s="1">
        <f t="shared" si="9"/>
        <v>0</v>
      </c>
      <c r="R35" s="1">
        <f t="shared" si="10"/>
        <v>-7.2135954999579255E-2</v>
      </c>
      <c r="S35" s="10">
        <f t="shared" si="11"/>
        <v>0</v>
      </c>
      <c r="T35" s="1">
        <f t="shared" si="12"/>
        <v>1.8550381170515884E-2</v>
      </c>
      <c r="U35" s="1">
        <f t="shared" si="13"/>
        <v>0</v>
      </c>
      <c r="V35" s="8">
        <f t="shared" si="14"/>
        <v>-7.2135954999579255E-2</v>
      </c>
    </row>
    <row r="36" spans="1:23" x14ac:dyDescent="0.2">
      <c r="A36" t="s">
        <v>30</v>
      </c>
      <c r="B36" t="s">
        <v>79</v>
      </c>
      <c r="C36" s="4">
        <v>4</v>
      </c>
      <c r="D36" s="1">
        <f t="shared" si="6"/>
        <v>5.3814496188294845</v>
      </c>
      <c r="E36" s="1">
        <f t="shared" si="6"/>
        <v>5</v>
      </c>
      <c r="F36" s="1">
        <f t="shared" si="6"/>
        <v>4.4721359549995796</v>
      </c>
      <c r="G36" s="4">
        <v>4</v>
      </c>
      <c r="H36" s="1">
        <f t="shared" si="7"/>
        <v>5.3814496188294845</v>
      </c>
      <c r="I36" s="1">
        <f t="shared" si="7"/>
        <v>5</v>
      </c>
      <c r="J36" s="1">
        <f t="shared" si="7"/>
        <v>4.4721359549995796</v>
      </c>
      <c r="K36" s="4">
        <v>4</v>
      </c>
      <c r="L36" s="1">
        <f t="shared" si="18"/>
        <v>5.4</v>
      </c>
      <c r="M36" s="1">
        <f t="shared" si="18"/>
        <v>5</v>
      </c>
      <c r="N36" s="8">
        <f t="shared" si="18"/>
        <v>4.4000000000000004</v>
      </c>
      <c r="O36" s="10">
        <f>$K36-$C36</f>
        <v>0</v>
      </c>
      <c r="P36" s="1">
        <f t="shared" si="8"/>
        <v>1.8550381170515884E-2</v>
      </c>
      <c r="Q36" s="1">
        <f t="shared" si="9"/>
        <v>0</v>
      </c>
      <c r="R36" s="1">
        <f t="shared" si="10"/>
        <v>-7.2135954999579255E-2</v>
      </c>
      <c r="S36" s="10">
        <f t="shared" si="11"/>
        <v>0</v>
      </c>
      <c r="T36" s="1">
        <f t="shared" si="12"/>
        <v>1.8550381170515884E-2</v>
      </c>
      <c r="U36" s="1">
        <f t="shared" si="13"/>
        <v>0</v>
      </c>
      <c r="V36" s="8">
        <f t="shared" si="14"/>
        <v>-7.2135954999579255E-2</v>
      </c>
    </row>
    <row r="37" spans="1:23" x14ac:dyDescent="0.2">
      <c r="A37" t="s">
        <v>31</v>
      </c>
      <c r="B37" t="s">
        <v>80</v>
      </c>
      <c r="C37" s="4">
        <v>6</v>
      </c>
      <c r="D37" s="1">
        <f t="shared" si="6"/>
        <v>6.9971422738143607</v>
      </c>
      <c r="E37" s="1">
        <f t="shared" si="6"/>
        <v>6.7082039324993694</v>
      </c>
      <c r="F37" s="1">
        <f t="shared" si="6"/>
        <v>6.324555320336759</v>
      </c>
      <c r="G37" s="4">
        <v>6</v>
      </c>
      <c r="H37" s="1">
        <f t="shared" si="7"/>
        <v>6.9971422738143607</v>
      </c>
      <c r="I37" s="1">
        <f t="shared" si="7"/>
        <v>6.7082039324993694</v>
      </c>
      <c r="J37" s="1">
        <f t="shared" si="7"/>
        <v>6.324555320336759</v>
      </c>
      <c r="K37" s="4">
        <v>5.7</v>
      </c>
      <c r="L37" s="1">
        <f t="shared" si="18"/>
        <v>7.1</v>
      </c>
      <c r="M37" s="1">
        <f t="shared" si="18"/>
        <v>6.7</v>
      </c>
      <c r="N37" s="8">
        <f t="shared" si="18"/>
        <v>6.1000000000000005</v>
      </c>
      <c r="O37" s="10">
        <f>$K37-$C37</f>
        <v>-0.29999999999999982</v>
      </c>
      <c r="P37" s="1">
        <f t="shared" si="8"/>
        <v>0.10285772618563893</v>
      </c>
      <c r="Q37" s="1">
        <f t="shared" si="9"/>
        <v>-8.2039324993692375E-3</v>
      </c>
      <c r="R37" s="1">
        <f t="shared" si="10"/>
        <v>-0.22455532033675851</v>
      </c>
      <c r="S37" s="10">
        <f t="shared" si="11"/>
        <v>-0.29999999999999982</v>
      </c>
      <c r="T37" s="1">
        <f t="shared" si="12"/>
        <v>0.10285772618563893</v>
      </c>
      <c r="U37" s="1">
        <f t="shared" si="13"/>
        <v>-8.2039324993692375E-3</v>
      </c>
      <c r="V37" s="8">
        <f t="shared" si="14"/>
        <v>-0.22455532033675851</v>
      </c>
    </row>
    <row r="38" spans="1:23" x14ac:dyDescent="0.2">
      <c r="A38" t="s">
        <v>32</v>
      </c>
      <c r="B38" t="s">
        <v>81</v>
      </c>
      <c r="C38" s="4"/>
      <c r="D38" s="1"/>
      <c r="E38" s="1"/>
      <c r="F38" s="1"/>
      <c r="G38" s="4">
        <v>47.5</v>
      </c>
      <c r="H38" s="1">
        <f t="shared" si="7"/>
        <v>47.636225711111919</v>
      </c>
      <c r="I38" s="1">
        <f t="shared" si="7"/>
        <v>47.594642555649052</v>
      </c>
      <c r="J38" s="1">
        <f t="shared" si="7"/>
        <v>47.542086618069256</v>
      </c>
      <c r="K38" s="4">
        <v>46.6</v>
      </c>
      <c r="L38" s="1">
        <f t="shared" si="18"/>
        <v>48</v>
      </c>
      <c r="M38" s="1">
        <f t="shared" si="18"/>
        <v>47.6</v>
      </c>
      <c r="N38" s="8">
        <f t="shared" si="18"/>
        <v>47</v>
      </c>
      <c r="O38" s="10"/>
      <c r="P38" s="1"/>
      <c r="Q38" s="1"/>
      <c r="R38" s="8"/>
      <c r="S38" s="10">
        <f t="shared" si="11"/>
        <v>-0.89999999999999858</v>
      </c>
      <c r="T38" s="1">
        <f t="shared" si="12"/>
        <v>0.36377428888808083</v>
      </c>
      <c r="U38" s="1">
        <f t="shared" si="13"/>
        <v>5.3574443509489811E-3</v>
      </c>
      <c r="V38" s="8">
        <f t="shared" si="14"/>
        <v>-0.54208661806925562</v>
      </c>
      <c r="W38" t="s">
        <v>35</v>
      </c>
    </row>
    <row r="39" spans="1:23" x14ac:dyDescent="0.2">
      <c r="A39" t="s">
        <v>44</v>
      </c>
      <c r="B39" t="s">
        <v>76</v>
      </c>
      <c r="C39" s="4"/>
      <c r="D39" s="1"/>
      <c r="E39" s="1"/>
      <c r="F39" s="1"/>
      <c r="G39" s="4">
        <v>4</v>
      </c>
      <c r="H39" s="1">
        <f t="shared" si="7"/>
        <v>5.3814496188294845</v>
      </c>
      <c r="I39" s="1">
        <f t="shared" si="7"/>
        <v>5</v>
      </c>
      <c r="J39" s="1">
        <f t="shared" si="7"/>
        <v>4.4721359549995796</v>
      </c>
      <c r="K39" s="4">
        <v>4</v>
      </c>
      <c r="L39" s="1">
        <f t="shared" si="18"/>
        <v>5.4</v>
      </c>
      <c r="M39" s="1">
        <f t="shared" si="18"/>
        <v>5</v>
      </c>
      <c r="N39" s="8">
        <f t="shared" si="18"/>
        <v>4.4000000000000004</v>
      </c>
      <c r="O39" s="10"/>
      <c r="P39" s="1"/>
      <c r="Q39" s="1"/>
      <c r="R39" s="8"/>
      <c r="S39" s="10">
        <f t="shared" si="11"/>
        <v>0</v>
      </c>
      <c r="T39" s="1">
        <f t="shared" ref="T39:T41" si="19">L39-H39</f>
        <v>1.8550381170515884E-2</v>
      </c>
      <c r="U39" s="1">
        <f t="shared" ref="U39:U41" si="20">M39-I39</f>
        <v>0</v>
      </c>
      <c r="V39" s="8">
        <f t="shared" ref="V39:V41" si="21">N39-J39</f>
        <v>-7.2135954999579255E-2</v>
      </c>
    </row>
    <row r="40" spans="1:23" x14ac:dyDescent="0.2">
      <c r="A40" t="s">
        <v>82</v>
      </c>
      <c r="B40" t="s">
        <v>84</v>
      </c>
      <c r="C40" s="4"/>
      <c r="D40" s="1"/>
      <c r="E40" s="1"/>
      <c r="F40" s="1"/>
      <c r="G40" s="4">
        <v>10</v>
      </c>
      <c r="H40" s="1">
        <f t="shared" si="7"/>
        <v>10.628264204469138</v>
      </c>
      <c r="I40" s="1">
        <f t="shared" si="7"/>
        <v>10.440306508910551</v>
      </c>
      <c r="J40" s="1">
        <f t="shared" si="7"/>
        <v>10.198039027185569</v>
      </c>
      <c r="K40" s="4">
        <v>9.5</v>
      </c>
      <c r="L40" s="1">
        <f t="shared" si="18"/>
        <v>10.9</v>
      </c>
      <c r="M40" s="1">
        <f t="shared" si="18"/>
        <v>10.5</v>
      </c>
      <c r="N40" s="8">
        <f t="shared" si="18"/>
        <v>9.9</v>
      </c>
      <c r="O40" s="10"/>
      <c r="P40" s="1"/>
      <c r="Q40" s="1"/>
      <c r="R40" s="8"/>
      <c r="S40" s="10">
        <f t="shared" si="11"/>
        <v>-0.5</v>
      </c>
      <c r="T40" s="1">
        <f t="shared" si="19"/>
        <v>0.27173579553086213</v>
      </c>
      <c r="U40" s="1">
        <f t="shared" si="20"/>
        <v>5.9693491089449324E-2</v>
      </c>
      <c r="V40" s="8">
        <f t="shared" si="21"/>
        <v>-0.29803902718556863</v>
      </c>
    </row>
    <row r="41" spans="1:23" x14ac:dyDescent="0.2">
      <c r="A41" t="s">
        <v>83</v>
      </c>
      <c r="B41" t="s">
        <v>85</v>
      </c>
      <c r="C41" s="4"/>
      <c r="D41" s="1"/>
      <c r="E41" s="1"/>
      <c r="F41" s="1"/>
      <c r="G41" s="4">
        <v>27.4</v>
      </c>
      <c r="H41" s="1">
        <f t="shared" si="7"/>
        <v>27.63548443577568</v>
      </c>
      <c r="I41" s="1">
        <f t="shared" si="7"/>
        <v>27.563744302978865</v>
      </c>
      <c r="J41" s="1">
        <f t="shared" si="7"/>
        <v>27.472895733795518</v>
      </c>
      <c r="K41" s="4">
        <v>26.5</v>
      </c>
      <c r="L41" s="1">
        <f t="shared" si="18"/>
        <v>27.9</v>
      </c>
      <c r="M41" s="1">
        <f t="shared" si="18"/>
        <v>27.5</v>
      </c>
      <c r="N41" s="8">
        <f t="shared" si="18"/>
        <v>26.9</v>
      </c>
      <c r="O41" s="10"/>
      <c r="P41" s="1"/>
      <c r="Q41" s="1"/>
      <c r="R41" s="8"/>
      <c r="S41" s="10">
        <f t="shared" si="11"/>
        <v>-0.89999999999999858</v>
      </c>
      <c r="T41" s="1">
        <f t="shared" si="19"/>
        <v>0.26451556422431821</v>
      </c>
      <c r="U41" s="1">
        <f t="shared" si="20"/>
        <v>-6.3744302978864908E-2</v>
      </c>
      <c r="V41" s="8">
        <f t="shared" si="21"/>
        <v>-0.57289573379551939</v>
      </c>
      <c r="W41" t="s">
        <v>88</v>
      </c>
    </row>
    <row r="42" spans="1:23" ht="15" thickBot="1" x14ac:dyDescent="0.25">
      <c r="C42" s="5"/>
      <c r="D42" s="6"/>
      <c r="E42" s="6"/>
      <c r="F42" s="6"/>
      <c r="G42" s="5"/>
      <c r="H42" s="6"/>
      <c r="I42" s="6"/>
      <c r="J42" s="6"/>
      <c r="K42" s="5"/>
      <c r="L42" s="6"/>
      <c r="M42" s="6"/>
      <c r="N42" s="7"/>
      <c r="O42" s="5"/>
      <c r="P42" s="6"/>
      <c r="Q42" s="6"/>
      <c r="R42" s="7"/>
      <c r="S42" s="5"/>
      <c r="T42" s="6"/>
      <c r="U42" s="6"/>
      <c r="V42" s="7"/>
    </row>
  </sheetData>
  <mergeCells count="17">
    <mergeCell ref="O4:R4"/>
    <mergeCell ref="P5:R5"/>
    <mergeCell ref="A5:B5"/>
    <mergeCell ref="W12:W13"/>
    <mergeCell ref="C4:F4"/>
    <mergeCell ref="K4:N4"/>
    <mergeCell ref="G4:J4"/>
    <mergeCell ref="G5:G6"/>
    <mergeCell ref="H5:J5"/>
    <mergeCell ref="C5:C6"/>
    <mergeCell ref="K5:K6"/>
    <mergeCell ref="L5:N5"/>
    <mergeCell ref="D5:F5"/>
    <mergeCell ref="S4:V4"/>
    <mergeCell ref="T5:V5"/>
    <mergeCell ref="O5:O6"/>
    <mergeCell ref="S5:S6"/>
  </mergeCells>
  <phoneticPr fontId="1" type="noConversion"/>
  <conditionalFormatting sqref="P7:R37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2">
      <colorScale>
        <cfvo type="num" val="-2"/>
        <cfvo type="num" val="2"/>
        <color rgb="FF00B050"/>
        <color rgb="FFFF0000"/>
      </colorScale>
    </cfRule>
  </conditionalFormatting>
  <conditionalFormatting sqref="T7:V38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8">
      <colorScale>
        <cfvo type="num" val="-2"/>
        <cfvo type="num" val="2"/>
        <color rgb="FF00B050"/>
        <color rgb="FFFF0000"/>
      </colorScale>
    </cfRule>
  </conditionalFormatting>
  <conditionalFormatting sqref="T39:V39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">
      <colorScale>
        <cfvo type="num" val="-2"/>
        <cfvo type="num" val="2"/>
        <color rgb="FF00B050"/>
        <color rgb="FFFF0000"/>
      </colorScale>
    </cfRule>
  </conditionalFormatting>
  <conditionalFormatting sqref="T40:V40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">
      <colorScale>
        <cfvo type="num" val="-2"/>
        <cfvo type="num" val="2"/>
        <color rgb="FF00B050"/>
        <color rgb="FFFF0000"/>
      </colorScale>
    </cfRule>
  </conditionalFormatting>
  <conditionalFormatting sqref="T41:V4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">
      <colorScale>
        <cfvo type="num" val="-2"/>
        <cfvo type="num" val="2"/>
        <color rgb="FF00B050"/>
        <color rgb="FFFF000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qiong cang</dc:creator>
  <cp:lastModifiedBy>qiong cang</cp:lastModifiedBy>
  <dcterms:created xsi:type="dcterms:W3CDTF">2026-01-06T13:39:59Z</dcterms:created>
  <dcterms:modified xsi:type="dcterms:W3CDTF">2026-04-05T09:41:45Z</dcterms:modified>
</cp:coreProperties>
</file>