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C169DE36-9B50-460E-8376-9A3EF380F694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3" i="1"/>
  <c r="R34" i="1"/>
  <c r="R35" i="1"/>
  <c r="R36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3" i="1"/>
  <c r="H33" i="1"/>
  <c r="I33" i="1"/>
  <c r="G34" i="1"/>
  <c r="H34" i="1"/>
  <c r="I34" i="1"/>
  <c r="G35" i="1"/>
  <c r="H35" i="1"/>
  <c r="I35" i="1"/>
  <c r="G36" i="1"/>
  <c r="H36" i="1"/>
  <c r="I36" i="1"/>
  <c r="H7" i="1"/>
  <c r="I7" i="1"/>
  <c r="G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3" i="1"/>
  <c r="N34" i="1"/>
  <c r="N35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K8" i="1"/>
  <c r="S8" i="1" s="1"/>
  <c r="L8" i="1"/>
  <c r="T8" i="1" s="1"/>
  <c r="M8" i="1"/>
  <c r="U8" i="1" s="1"/>
  <c r="K9" i="1"/>
  <c r="S9" i="1" s="1"/>
  <c r="L9" i="1"/>
  <c r="T9" i="1" s="1"/>
  <c r="M9" i="1"/>
  <c r="Q9" i="1" s="1"/>
  <c r="K10" i="1"/>
  <c r="O10" i="1" s="1"/>
  <c r="L10" i="1"/>
  <c r="P10" i="1" s="1"/>
  <c r="M10" i="1"/>
  <c r="U10" i="1" s="1"/>
  <c r="K11" i="1"/>
  <c r="S11" i="1" s="1"/>
  <c r="L11" i="1"/>
  <c r="T11" i="1" s="1"/>
  <c r="M11" i="1"/>
  <c r="Q11" i="1" s="1"/>
  <c r="K12" i="1"/>
  <c r="O12" i="1" s="1"/>
  <c r="L12" i="1"/>
  <c r="P12" i="1" s="1"/>
  <c r="M12" i="1"/>
  <c r="K13" i="1"/>
  <c r="O13" i="1" s="1"/>
  <c r="L13" i="1"/>
  <c r="P13" i="1" s="1"/>
  <c r="M13" i="1"/>
  <c r="Q13" i="1" s="1"/>
  <c r="K14" i="1"/>
  <c r="O14" i="1" s="1"/>
  <c r="L14" i="1"/>
  <c r="P14" i="1" s="1"/>
  <c r="M14" i="1"/>
  <c r="Q14" i="1" s="1"/>
  <c r="K15" i="1"/>
  <c r="O15" i="1" s="1"/>
  <c r="L15" i="1"/>
  <c r="P15" i="1" s="1"/>
  <c r="M15" i="1"/>
  <c r="Q15" i="1" s="1"/>
  <c r="K16" i="1"/>
  <c r="O16" i="1" s="1"/>
  <c r="L16" i="1"/>
  <c r="P16" i="1" s="1"/>
  <c r="M16" i="1"/>
  <c r="Q16" i="1" s="1"/>
  <c r="K17" i="1"/>
  <c r="O17" i="1" s="1"/>
  <c r="L17" i="1"/>
  <c r="P17" i="1" s="1"/>
  <c r="M17" i="1"/>
  <c r="Q17" i="1" s="1"/>
  <c r="K18" i="1"/>
  <c r="O18" i="1" s="1"/>
  <c r="L18" i="1"/>
  <c r="P18" i="1" s="1"/>
  <c r="M18" i="1"/>
  <c r="Q18" i="1" s="1"/>
  <c r="K19" i="1"/>
  <c r="O19" i="1" s="1"/>
  <c r="L19" i="1"/>
  <c r="T19" i="1" s="1"/>
  <c r="M19" i="1"/>
  <c r="U19" i="1" s="1"/>
  <c r="K20" i="1"/>
  <c r="O20" i="1" s="1"/>
  <c r="L20" i="1"/>
  <c r="P20" i="1" s="1"/>
  <c r="M20" i="1"/>
  <c r="Q20" i="1" s="1"/>
  <c r="K21" i="1"/>
  <c r="O21" i="1" s="1"/>
  <c r="L21" i="1"/>
  <c r="P21" i="1" s="1"/>
  <c r="M21" i="1"/>
  <c r="Q21" i="1" s="1"/>
  <c r="K22" i="1"/>
  <c r="O22" i="1" s="1"/>
  <c r="L22" i="1"/>
  <c r="P22" i="1" s="1"/>
  <c r="M22" i="1"/>
  <c r="Q22" i="1" s="1"/>
  <c r="K23" i="1"/>
  <c r="O23" i="1" s="1"/>
  <c r="L23" i="1"/>
  <c r="P23" i="1" s="1"/>
  <c r="M23" i="1"/>
  <c r="Q23" i="1" s="1"/>
  <c r="K24" i="1"/>
  <c r="O24" i="1" s="1"/>
  <c r="L24" i="1"/>
  <c r="P24" i="1" s="1"/>
  <c r="M24" i="1"/>
  <c r="Q24" i="1" s="1"/>
  <c r="K25" i="1"/>
  <c r="O25" i="1" s="1"/>
  <c r="L25" i="1"/>
  <c r="P25" i="1" s="1"/>
  <c r="M25" i="1"/>
  <c r="Q25" i="1" s="1"/>
  <c r="K26" i="1"/>
  <c r="S26" i="1" s="1"/>
  <c r="L26" i="1"/>
  <c r="P26" i="1" s="1"/>
  <c r="M26" i="1"/>
  <c r="U26" i="1" s="1"/>
  <c r="K27" i="1"/>
  <c r="O27" i="1" s="1"/>
  <c r="L27" i="1"/>
  <c r="P27" i="1" s="1"/>
  <c r="M27" i="1"/>
  <c r="Q27" i="1" s="1"/>
  <c r="K28" i="1"/>
  <c r="O28" i="1" s="1"/>
  <c r="L28" i="1"/>
  <c r="P28" i="1" s="1"/>
  <c r="M28" i="1"/>
  <c r="U28" i="1" s="1"/>
  <c r="K29" i="1"/>
  <c r="S29" i="1" s="1"/>
  <c r="L29" i="1"/>
  <c r="P29" i="1" s="1"/>
  <c r="M29" i="1"/>
  <c r="Q29" i="1" s="1"/>
  <c r="K30" i="1"/>
  <c r="O30" i="1" s="1"/>
  <c r="L30" i="1"/>
  <c r="P30" i="1" s="1"/>
  <c r="M30" i="1"/>
  <c r="Q30" i="1" s="1"/>
  <c r="K31" i="1"/>
  <c r="O31" i="1" s="1"/>
  <c r="L31" i="1"/>
  <c r="P31" i="1" s="1"/>
  <c r="M31" i="1"/>
  <c r="U31" i="1" s="1"/>
  <c r="K33" i="1"/>
  <c r="O33" i="1" s="1"/>
  <c r="L33" i="1"/>
  <c r="P33" i="1" s="1"/>
  <c r="M33" i="1"/>
  <c r="Q33" i="1" s="1"/>
  <c r="K34" i="1"/>
  <c r="O34" i="1" s="1"/>
  <c r="L34" i="1"/>
  <c r="T34" i="1" s="1"/>
  <c r="M34" i="1"/>
  <c r="Q34" i="1" s="1"/>
  <c r="K35" i="1"/>
  <c r="O35" i="1" s="1"/>
  <c r="L35" i="1"/>
  <c r="T35" i="1" s="1"/>
  <c r="M35" i="1"/>
  <c r="U35" i="1" s="1"/>
  <c r="K36" i="1"/>
  <c r="L36" i="1"/>
  <c r="M36" i="1"/>
  <c r="L7" i="1"/>
  <c r="T7" i="1" s="1"/>
  <c r="M7" i="1"/>
  <c r="U7" i="1" s="1"/>
  <c r="K7" i="1"/>
  <c r="O7" i="1" s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7" i="1"/>
  <c r="U36" i="1" l="1"/>
  <c r="T36" i="1"/>
  <c r="T18" i="1"/>
  <c r="U12" i="1"/>
  <c r="T29" i="1"/>
  <c r="S33" i="1"/>
  <c r="S21" i="1"/>
  <c r="S35" i="1"/>
  <c r="S18" i="1"/>
  <c r="S31" i="1"/>
  <c r="S23" i="1"/>
  <c r="S20" i="1"/>
  <c r="O29" i="1"/>
  <c r="O9" i="1"/>
  <c r="S30" i="1"/>
  <c r="S22" i="1"/>
  <c r="S14" i="1"/>
  <c r="S34" i="1"/>
  <c r="S19" i="1"/>
  <c r="S7" i="1"/>
  <c r="T24" i="1"/>
  <c r="O8" i="1"/>
  <c r="O11" i="1"/>
  <c r="S15" i="1"/>
  <c r="T16" i="1"/>
  <c r="S13" i="1"/>
  <c r="S10" i="1"/>
  <c r="P7" i="1"/>
  <c r="T21" i="1"/>
  <c r="P35" i="1"/>
  <c r="P19" i="1"/>
  <c r="P9" i="1"/>
  <c r="T33" i="1"/>
  <c r="T10" i="1"/>
  <c r="T31" i="1"/>
  <c r="T23" i="1"/>
  <c r="P34" i="1"/>
  <c r="P8" i="1"/>
  <c r="T20" i="1"/>
  <c r="T26" i="1"/>
  <c r="T17" i="1"/>
  <c r="P11" i="1"/>
  <c r="T30" i="1"/>
  <c r="T22" i="1"/>
  <c r="T15" i="1"/>
  <c r="U20" i="1"/>
  <c r="Q19" i="1"/>
  <c r="U33" i="1"/>
  <c r="U24" i="1"/>
  <c r="U21" i="1"/>
  <c r="U13" i="1"/>
  <c r="Q31" i="1"/>
  <c r="Q35" i="1"/>
  <c r="Q26" i="1"/>
  <c r="U11" i="1"/>
  <c r="U23" i="1"/>
  <c r="Q8" i="1"/>
  <c r="U29" i="1"/>
  <c r="Q7" i="1"/>
  <c r="U18" i="1"/>
  <c r="Q10" i="1"/>
  <c r="U15" i="1"/>
  <c r="U9" i="1"/>
  <c r="U34" i="1"/>
  <c r="U25" i="1"/>
  <c r="Q28" i="1"/>
  <c r="U30" i="1"/>
  <c r="U22" i="1"/>
  <c r="S17" i="1"/>
  <c r="U17" i="1"/>
  <c r="S16" i="1"/>
  <c r="U16" i="1"/>
  <c r="T13" i="1"/>
  <c r="U14" i="1"/>
  <c r="T14" i="1"/>
  <c r="S12" i="1"/>
  <c r="Q12" i="1"/>
  <c r="T12" i="1"/>
  <c r="S24" i="1"/>
  <c r="T25" i="1"/>
  <c r="S25" i="1"/>
  <c r="S36" i="1"/>
  <c r="U27" i="1"/>
  <c r="T27" i="1"/>
  <c r="S27" i="1"/>
  <c r="S28" i="1"/>
  <c r="T28" i="1"/>
  <c r="O26" i="1"/>
</calcChain>
</file>

<file path=xl/sharedStrings.xml><?xml version="1.0" encoding="utf-8"?>
<sst xmlns="http://schemas.openxmlformats.org/spreadsheetml/2006/main" count="57" uniqueCount="46">
  <si>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</si>
  <si>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</si>
  <si>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</si>
  <si>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</si>
  <si>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</si>
  <si>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</si>
  <si>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</si>
  <si>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</si>
  <si>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</si>
  <si>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</si>
  <si>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</si>
  <si>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</si>
  <si>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</si>
  <si>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</si>
  <si>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</si>
  <si>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</si>
  <si>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</si>
  <si>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</si>
  <si>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</si>
  <si>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</si>
  <si>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</si>
  <si>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</si>
  <si>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</si>
  <si>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</si>
  <si>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</si>
  <si>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</si>
  <si>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</si>
  <si>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</si>
  <si>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</si>
  <si>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</si>
  <si>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</si>
  <si>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</si>
  <si>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</si>
  <si>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</si>
  <si>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</si>
  <si>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</si>
  <si>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</si>
  <si>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</si>
  <si>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</si>
  <si>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</si>
  <si>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</si>
  <si>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我不知道这是啥玩意，弹幕引擎给的注释是“封魔针？”</t>
    <phoneticPr fontId="1" type="noConversion"/>
  </si>
  <si>
    <t>1.4 - 3.6</t>
    <phoneticPr fontId="1" type="noConversion"/>
  </si>
  <si>
    <t>1 - 3</t>
    <phoneticPr fontId="1" type="noConversion"/>
  </si>
  <si>
    <t>JSTG中：使用相交圆判定，普通自机1判，瘦子0.4判，胖子1.4判（暂定计划，未实现）</t>
    <phoneticPr fontId="1" type="noConversion"/>
  </si>
  <si>
    <t>0.4 - 2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</si>
</sst>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0"/>
  <sheetViews>
    <sheetView tabSelected="1" topLeftCell="F4" zoomScaleNormal="100" workbookViewId="0">
      <selection activeCell="F36" sqref="F36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10.25" customWidth="1"/>
  </cols>
  <sheetData>
    <row r="1" spans="1:22" x14ac:dyDescent="0.2">
      <c r="A1" t="s">
        <v>36</v>
      </c>
    </row>
    <row r="2" spans="1:22" x14ac:dyDescent="0.2">
      <c r="A2" t="s">
        <v>44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37</v>
      </c>
      <c r="G4" s="13"/>
      <c r="H4" s="13"/>
      <c r="I4" s="13"/>
      <c r="J4" s="12" t="s">
        <v>38</v>
      </c>
      <c r="K4" s="13"/>
      <c r="L4" s="13"/>
      <c r="M4" s="14"/>
      <c r="N4" s="12" t="s">
        <v>39</v>
      </c>
      <c r="O4" s="13"/>
      <c r="P4" s="13"/>
      <c r="Q4" s="14"/>
      <c r="R4" s="12" t="s">
        <v>40</v>
      </c>
      <c r="S4" s="13"/>
      <c r="T4" s="13"/>
      <c r="U4" s="14"/>
      <c r="V4" t="s">
        <v>2</v>
      </c>
    </row>
    <row r="5" spans="1:22" x14ac:dyDescent="0.2">
      <c r="B5" s="15" t="s">
        <v>33</v>
      </c>
      <c r="C5" s="16" t="s">
        <v>34</v>
      </c>
      <c r="D5" s="16"/>
      <c r="E5" s="16"/>
      <c r="F5" s="15" t="s">
        <v>33</v>
      </c>
      <c r="G5" s="16" t="s">
        <v>34</v>
      </c>
      <c r="H5" s="16"/>
      <c r="I5" s="16"/>
      <c r="J5" s="15" t="s">
        <v>33</v>
      </c>
      <c r="K5" s="16" t="s">
        <v>34</v>
      </c>
      <c r="L5" s="16"/>
      <c r="M5" s="17"/>
      <c r="N5" s="15" t="s">
        <v>33</v>
      </c>
      <c r="O5" s="16" t="s">
        <v>34</v>
      </c>
      <c r="P5" s="16"/>
      <c r="Q5" s="17"/>
      <c r="R5" s="15" t="s">
        <v>33</v>
      </c>
      <c r="S5" s="16" t="s">
        <v>34</v>
      </c>
      <c r="T5" s="16"/>
      <c r="U5" s="17"/>
    </row>
    <row r="6" spans="1:22" x14ac:dyDescent="0.2">
      <c r="A6" t="s">
        <v>1</v>
      </c>
      <c r="B6" s="15"/>
      <c r="C6">
        <v>3.6</v>
      </c>
      <c r="D6">
        <v>3</v>
      </c>
      <c r="E6">
        <v>2</v>
      </c>
      <c r="F6" s="15"/>
      <c r="G6">
        <v>3.6</v>
      </c>
      <c r="H6">
        <v>3</v>
      </c>
      <c r="I6">
        <v>2</v>
      </c>
      <c r="J6" s="15"/>
      <c r="K6">
        <v>1.4</v>
      </c>
      <c r="L6">
        <v>1</v>
      </c>
      <c r="M6" s="3">
        <v>0.4</v>
      </c>
      <c r="N6" s="15"/>
      <c r="O6" s="2" t="s">
        <v>42</v>
      </c>
      <c r="P6" s="2" t="s">
        <v>43</v>
      </c>
      <c r="Q6" s="10" t="s">
        <v>45</v>
      </c>
      <c r="R6" s="15"/>
      <c r="S6" s="2" t="s">
        <v>42</v>
      </c>
      <c r="T6" s="2" t="s">
        <v>43</v>
      </c>
      <c r="U6" s="10" t="s">
        <v>45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2" si="1">SQRT(SUMSQ($F7,H$6))</f>
        <v>5</v>
      </c>
      <c r="I7" s="1">
        <f t="shared" si="1"/>
        <v>4.4721359549995796</v>
      </c>
      <c r="J7" s="4">
        <v>4</v>
      </c>
      <c r="K7" s="1">
        <f t="shared" ref="K7:M31" si="2">$J7+K$6</f>
        <v>5.4</v>
      </c>
      <c r="L7" s="1">
        <f t="shared" si="2"/>
        <v>5</v>
      </c>
      <c r="M7" s="9">
        <f t="shared" si="2"/>
        <v>4.4000000000000004</v>
      </c>
      <c r="N7" s="11">
        <f t="shared" ref="N7:N31" si="3">$J7-$B7</f>
        <v>0</v>
      </c>
      <c r="O7" s="1">
        <f>K7-C7</f>
        <v>1.8550381170515884E-2</v>
      </c>
      <c r="P7" s="1">
        <f t="shared" ref="P7:Q7" si="4">L7-D7</f>
        <v>0</v>
      </c>
      <c r="Q7" s="1">
        <f t="shared" si="4"/>
        <v>-7.2135954999579255E-2</v>
      </c>
      <c r="R7" s="11">
        <f>$J7-$F7</f>
        <v>0</v>
      </c>
      <c r="S7" s="1">
        <f>K7-G7</f>
        <v>1.8550381170515884E-2</v>
      </c>
      <c r="T7" s="1">
        <f t="shared" ref="T7:U7" si="5">L7-H7</f>
        <v>0</v>
      </c>
      <c r="U7" s="9">
        <f t="shared" si="5"/>
        <v>-7.2135954999579255E-2</v>
      </c>
    </row>
    <row r="8" spans="1:22" x14ac:dyDescent="0.2">
      <c r="A8" t="s">
        <v>4</v>
      </c>
      <c r="B8" s="4">
        <v>4</v>
      </c>
      <c r="C8" s="1">
        <f t="shared" ref="C8:E35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36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4</v>
      </c>
      <c r="K8" s="1">
        <f t="shared" si="2"/>
        <v>5.4</v>
      </c>
      <c r="L8" s="1">
        <f t="shared" si="2"/>
        <v>5</v>
      </c>
      <c r="M8" s="9">
        <f t="shared" si="2"/>
        <v>4.4000000000000004</v>
      </c>
      <c r="N8" s="11">
        <f t="shared" si="3"/>
        <v>0</v>
      </c>
      <c r="O8" s="1">
        <f t="shared" ref="O8:O35" si="8">K8-C8</f>
        <v>1.8550381170515884E-2</v>
      </c>
      <c r="P8" s="1">
        <f t="shared" ref="P8:P35" si="9">L8-D8</f>
        <v>0</v>
      </c>
      <c r="Q8" s="1">
        <f t="shared" ref="Q8:Q35" si="10">M8-E8</f>
        <v>-7.2135954999579255E-2</v>
      </c>
      <c r="R8" s="11">
        <f t="shared" ref="R8:R36" si="11">$J8-$F8</f>
        <v>0</v>
      </c>
      <c r="S8" s="1">
        <f t="shared" ref="S8:S36" si="12">K8-G8</f>
        <v>1.8550381170515884E-2</v>
      </c>
      <c r="T8" s="1">
        <f t="shared" ref="T8:T36" si="13">L8-H8</f>
        <v>0</v>
      </c>
      <c r="U8" s="9">
        <f t="shared" ref="U8:U36" si="14">M8-I8</f>
        <v>-7.2135954999579255E-2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4</v>
      </c>
      <c r="K9" s="1">
        <f t="shared" si="2"/>
        <v>5.4</v>
      </c>
      <c r="L9" s="1">
        <f t="shared" si="2"/>
        <v>5</v>
      </c>
      <c r="M9" s="9">
        <f t="shared" si="2"/>
        <v>4.4000000000000004</v>
      </c>
      <c r="N9" s="11">
        <f t="shared" si="3"/>
        <v>0</v>
      </c>
      <c r="O9" s="1">
        <f t="shared" si="8"/>
        <v>1.8550381170515884E-2</v>
      </c>
      <c r="P9" s="1">
        <f t="shared" si="9"/>
        <v>0</v>
      </c>
      <c r="Q9" s="1">
        <f t="shared" si="10"/>
        <v>-7.2135954999579255E-2</v>
      </c>
      <c r="R9" s="11">
        <f t="shared" si="11"/>
        <v>0</v>
      </c>
      <c r="S9" s="1">
        <f t="shared" si="12"/>
        <v>1.8550381170515884E-2</v>
      </c>
      <c r="T9" s="1">
        <f t="shared" si="13"/>
        <v>0</v>
      </c>
      <c r="U9" s="9">
        <f t="shared" si="14"/>
        <v>-7.2135954999579255E-2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4</v>
      </c>
      <c r="K10" s="1">
        <f t="shared" si="2"/>
        <v>5.4</v>
      </c>
      <c r="L10" s="1">
        <f t="shared" si="2"/>
        <v>5</v>
      </c>
      <c r="M10" s="9">
        <f t="shared" si="2"/>
        <v>4.4000000000000004</v>
      </c>
      <c r="N10" s="11">
        <f t="shared" si="3"/>
        <v>0</v>
      </c>
      <c r="O10" s="1">
        <f t="shared" si="8"/>
        <v>1.8550381170515884E-2</v>
      </c>
      <c r="P10" s="1">
        <f t="shared" si="9"/>
        <v>0</v>
      </c>
      <c r="Q10" s="1">
        <f t="shared" si="10"/>
        <v>-7.2135954999579255E-2</v>
      </c>
      <c r="R10" s="11">
        <f t="shared" si="11"/>
        <v>0</v>
      </c>
      <c r="S10" s="1">
        <f t="shared" si="12"/>
        <v>1.8550381170515884E-2</v>
      </c>
      <c r="T10" s="1">
        <f t="shared" si="13"/>
        <v>0</v>
      </c>
      <c r="U10" s="9">
        <f t="shared" si="14"/>
        <v>-7.2135954999579255E-2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2.8</v>
      </c>
      <c r="K11" s="1">
        <f t="shared" si="2"/>
        <v>4.1999999999999993</v>
      </c>
      <c r="L11" s="1">
        <f t="shared" si="2"/>
        <v>3.8</v>
      </c>
      <c r="M11" s="9">
        <f t="shared" si="2"/>
        <v>3.1999999999999997</v>
      </c>
      <c r="N11" s="11">
        <f t="shared" si="3"/>
        <v>0.39999999999999991</v>
      </c>
      <c r="O11" s="1">
        <f t="shared" si="8"/>
        <v>-0.12666153055678731</v>
      </c>
      <c r="P11" s="1">
        <f t="shared" si="9"/>
        <v>-4.1874542459709563E-2</v>
      </c>
      <c r="Q11" s="1">
        <f t="shared" si="10"/>
        <v>7.5900129637338054E-2</v>
      </c>
      <c r="R11" s="11">
        <f t="shared" si="11"/>
        <v>0.39999999999999991</v>
      </c>
      <c r="S11" s="1">
        <f t="shared" si="12"/>
        <v>-0.12666153055678731</v>
      </c>
      <c r="T11" s="1">
        <f t="shared" si="13"/>
        <v>-4.1874542459709563E-2</v>
      </c>
      <c r="U11" s="9">
        <f t="shared" si="14"/>
        <v>7.5900129637338054E-2</v>
      </c>
    </row>
    <row r="12" spans="1:22" x14ac:dyDescent="0.2">
      <c r="A12" t="s">
        <v>8</v>
      </c>
      <c r="B12" s="4">
        <v>3</v>
      </c>
      <c r="C12" s="1">
        <f t="shared" si="6"/>
        <v>4.6861498055439927</v>
      </c>
      <c r="D12" s="1">
        <f t="shared" si="6"/>
        <v>4.2426406871192848</v>
      </c>
      <c r="E12" s="1">
        <f t="shared" si="6"/>
        <v>3.6055512754639891</v>
      </c>
      <c r="F12" s="4">
        <v>2.7</v>
      </c>
      <c r="G12" s="1">
        <f t="shared" si="7"/>
        <v>4.5</v>
      </c>
      <c r="H12" s="1">
        <f t="shared" si="1"/>
        <v>4.0360872141221131</v>
      </c>
      <c r="I12" s="1">
        <f t="shared" si="1"/>
        <v>3.3600595232822887</v>
      </c>
      <c r="J12" s="4">
        <v>3.05</v>
      </c>
      <c r="K12" s="1">
        <f t="shared" si="2"/>
        <v>4.4499999999999993</v>
      </c>
      <c r="L12" s="1">
        <f t="shared" si="2"/>
        <v>4.05</v>
      </c>
      <c r="M12" s="9">
        <f t="shared" si="2"/>
        <v>3.4499999999999997</v>
      </c>
      <c r="N12" s="11">
        <f t="shared" si="3"/>
        <v>4.9999999999999822E-2</v>
      </c>
      <c r="O12" s="1">
        <f t="shared" si="8"/>
        <v>-0.23614980554399345</v>
      </c>
      <c r="P12" s="1">
        <f t="shared" si="9"/>
        <v>-0.19264068711928495</v>
      </c>
      <c r="Q12" s="1">
        <f t="shared" si="10"/>
        <v>-0.15555127546398939</v>
      </c>
      <c r="R12" s="11">
        <f t="shared" si="11"/>
        <v>0.34999999999999964</v>
      </c>
      <c r="S12" s="1">
        <f t="shared" si="12"/>
        <v>-5.0000000000000711E-2</v>
      </c>
      <c r="T12" s="1">
        <f t="shared" si="13"/>
        <v>1.3912785877886691E-2</v>
      </c>
      <c r="U12" s="9">
        <f t="shared" si="14"/>
        <v>8.9940476717710993E-2</v>
      </c>
    </row>
    <row r="13" spans="1:22" x14ac:dyDescent="0.2">
      <c r="A13" t="s">
        <v>9</v>
      </c>
      <c r="B13" s="4">
        <v>3</v>
      </c>
      <c r="C13" s="1">
        <f t="shared" si="6"/>
        <v>4.6861498055439927</v>
      </c>
      <c r="D13" s="1">
        <f t="shared" si="6"/>
        <v>4.2426406871192848</v>
      </c>
      <c r="E13" s="1">
        <f t="shared" si="6"/>
        <v>3.6055512754639891</v>
      </c>
      <c r="F13" s="4">
        <v>2.7</v>
      </c>
      <c r="G13" s="1">
        <f t="shared" si="7"/>
        <v>4.5</v>
      </c>
      <c r="H13" s="1">
        <f t="shared" si="1"/>
        <v>4.0360872141221131</v>
      </c>
      <c r="I13" s="1">
        <f t="shared" si="1"/>
        <v>3.3600595232822887</v>
      </c>
      <c r="J13" s="4">
        <v>3.05</v>
      </c>
      <c r="K13" s="1">
        <f t="shared" si="2"/>
        <v>4.4499999999999993</v>
      </c>
      <c r="L13" s="1">
        <f t="shared" si="2"/>
        <v>4.05</v>
      </c>
      <c r="M13" s="9">
        <f t="shared" si="2"/>
        <v>3.4499999999999997</v>
      </c>
      <c r="N13" s="11">
        <f t="shared" si="3"/>
        <v>4.9999999999999822E-2</v>
      </c>
      <c r="O13" s="1">
        <f t="shared" si="8"/>
        <v>-0.23614980554399345</v>
      </c>
      <c r="P13" s="1">
        <f t="shared" si="9"/>
        <v>-0.19264068711928495</v>
      </c>
      <c r="Q13" s="1">
        <f t="shared" si="10"/>
        <v>-0.15555127546398939</v>
      </c>
      <c r="R13" s="11">
        <f t="shared" si="11"/>
        <v>0.34999999999999964</v>
      </c>
      <c r="S13" s="1">
        <f t="shared" si="12"/>
        <v>-5.0000000000000711E-2</v>
      </c>
      <c r="T13" s="1">
        <f t="shared" si="13"/>
        <v>1.3912785877886691E-2</v>
      </c>
      <c r="U13" s="9">
        <f t="shared" si="14"/>
        <v>8.9940476717710993E-2</v>
      </c>
    </row>
    <row r="14" spans="1:22" x14ac:dyDescent="0.2">
      <c r="A14" t="s">
        <v>10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2.7</v>
      </c>
      <c r="G14" s="1">
        <f t="shared" si="7"/>
        <v>4.5</v>
      </c>
      <c r="H14" s="1">
        <f t="shared" si="1"/>
        <v>4.0360872141221131</v>
      </c>
      <c r="I14" s="1">
        <f t="shared" si="1"/>
        <v>3.3600595232822887</v>
      </c>
      <c r="J14" s="4">
        <v>3.05</v>
      </c>
      <c r="K14" s="1">
        <f t="shared" si="2"/>
        <v>4.4499999999999993</v>
      </c>
      <c r="L14" s="1">
        <f t="shared" si="2"/>
        <v>4.05</v>
      </c>
      <c r="M14" s="9">
        <f t="shared" si="2"/>
        <v>3.4499999999999997</v>
      </c>
      <c r="N14" s="11">
        <f t="shared" si="3"/>
        <v>4.9999999999999822E-2</v>
      </c>
      <c r="O14" s="1">
        <f t="shared" si="8"/>
        <v>-0.23614980554399345</v>
      </c>
      <c r="P14" s="1">
        <f t="shared" si="9"/>
        <v>-0.19264068711928495</v>
      </c>
      <c r="Q14" s="1">
        <f t="shared" si="10"/>
        <v>-0.15555127546398939</v>
      </c>
      <c r="R14" s="11">
        <f t="shared" si="11"/>
        <v>0.34999999999999964</v>
      </c>
      <c r="S14" s="1">
        <f t="shared" si="12"/>
        <v>-5.0000000000000711E-2</v>
      </c>
      <c r="T14" s="1">
        <f t="shared" si="13"/>
        <v>1.3912785877886691E-2</v>
      </c>
      <c r="U14" s="9">
        <f t="shared" si="14"/>
        <v>8.9940476717710993E-2</v>
      </c>
    </row>
    <row r="15" spans="1:22" x14ac:dyDescent="0.2">
      <c r="A15" t="s">
        <v>11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2.7</v>
      </c>
      <c r="G15" s="1">
        <f t="shared" si="7"/>
        <v>4.5</v>
      </c>
      <c r="H15" s="1">
        <f t="shared" si="1"/>
        <v>4.0360872141221131</v>
      </c>
      <c r="I15" s="1">
        <f t="shared" si="1"/>
        <v>3.3600595232822887</v>
      </c>
      <c r="J15" s="4">
        <v>3.05</v>
      </c>
      <c r="K15" s="1">
        <f t="shared" si="2"/>
        <v>4.4499999999999993</v>
      </c>
      <c r="L15" s="1">
        <f t="shared" si="2"/>
        <v>4.05</v>
      </c>
      <c r="M15" s="9">
        <f t="shared" si="2"/>
        <v>3.4499999999999997</v>
      </c>
      <c r="N15" s="11">
        <f t="shared" si="3"/>
        <v>4.9999999999999822E-2</v>
      </c>
      <c r="O15" s="1">
        <f t="shared" si="8"/>
        <v>-0.23614980554399345</v>
      </c>
      <c r="P15" s="1">
        <f t="shared" si="9"/>
        <v>-0.19264068711928495</v>
      </c>
      <c r="Q15" s="1">
        <f t="shared" si="10"/>
        <v>-0.15555127546398939</v>
      </c>
      <c r="R15" s="11">
        <f t="shared" si="11"/>
        <v>0.34999999999999964</v>
      </c>
      <c r="S15" s="1">
        <f t="shared" si="12"/>
        <v>-5.0000000000000711E-2</v>
      </c>
      <c r="T15" s="1">
        <f t="shared" si="13"/>
        <v>1.3912785877886691E-2</v>
      </c>
      <c r="U15" s="9">
        <f t="shared" si="14"/>
        <v>8.9940476717710993E-2</v>
      </c>
    </row>
    <row r="16" spans="1:22" x14ac:dyDescent="0.2">
      <c r="A16" t="s">
        <v>12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2.7</v>
      </c>
      <c r="G16" s="1">
        <f t="shared" si="7"/>
        <v>4.5</v>
      </c>
      <c r="H16" s="1">
        <f t="shared" si="1"/>
        <v>4.0360872141221131</v>
      </c>
      <c r="I16" s="1">
        <f t="shared" si="1"/>
        <v>3.3600595232822887</v>
      </c>
      <c r="J16" s="4">
        <v>3.05</v>
      </c>
      <c r="K16" s="1">
        <f t="shared" si="2"/>
        <v>4.4499999999999993</v>
      </c>
      <c r="L16" s="1">
        <f t="shared" si="2"/>
        <v>4.05</v>
      </c>
      <c r="M16" s="9">
        <f t="shared" si="2"/>
        <v>3.4499999999999997</v>
      </c>
      <c r="N16" s="11">
        <f t="shared" si="3"/>
        <v>4.9999999999999822E-2</v>
      </c>
      <c r="O16" s="1">
        <f t="shared" si="8"/>
        <v>-0.23614980554399345</v>
      </c>
      <c r="P16" s="1">
        <f t="shared" si="9"/>
        <v>-0.19264068711928495</v>
      </c>
      <c r="Q16" s="1">
        <f t="shared" si="10"/>
        <v>-0.15555127546398939</v>
      </c>
      <c r="R16" s="11">
        <f t="shared" si="11"/>
        <v>0.34999999999999964</v>
      </c>
      <c r="S16" s="1">
        <f t="shared" si="12"/>
        <v>-5.0000000000000711E-2</v>
      </c>
      <c r="T16" s="1">
        <f t="shared" si="13"/>
        <v>1.3912785877886691E-2</v>
      </c>
      <c r="U16" s="9">
        <f t="shared" si="14"/>
        <v>8.9940476717710993E-2</v>
      </c>
    </row>
    <row r="17" spans="1:22" x14ac:dyDescent="0.2">
      <c r="A17" t="s">
        <v>13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2.4</v>
      </c>
      <c r="G17" s="1">
        <f t="shared" si="7"/>
        <v>4.3266615305567866</v>
      </c>
      <c r="H17" s="1">
        <f t="shared" si="1"/>
        <v>3.8418745424597094</v>
      </c>
      <c r="I17" s="1">
        <f t="shared" si="1"/>
        <v>3.1240998703626617</v>
      </c>
      <c r="J17" s="4">
        <v>2.8</v>
      </c>
      <c r="K17" s="1">
        <f t="shared" si="2"/>
        <v>4.1999999999999993</v>
      </c>
      <c r="L17" s="1">
        <f t="shared" si="2"/>
        <v>3.8</v>
      </c>
      <c r="M17" s="9">
        <f t="shared" si="2"/>
        <v>3.1999999999999997</v>
      </c>
      <c r="N17" s="11">
        <f t="shared" si="3"/>
        <v>-0.20000000000000018</v>
      </c>
      <c r="O17" s="1">
        <f t="shared" si="8"/>
        <v>-0.48614980554399345</v>
      </c>
      <c r="P17" s="1">
        <f t="shared" si="9"/>
        <v>-0.44264068711928495</v>
      </c>
      <c r="Q17" s="1">
        <f t="shared" si="10"/>
        <v>-0.40555127546398939</v>
      </c>
      <c r="R17" s="11">
        <f t="shared" si="11"/>
        <v>0.39999999999999991</v>
      </c>
      <c r="S17" s="1">
        <f t="shared" si="12"/>
        <v>-0.12666153055678731</v>
      </c>
      <c r="T17" s="1">
        <f t="shared" si="13"/>
        <v>-4.1874542459709563E-2</v>
      </c>
      <c r="U17" s="9">
        <f t="shared" si="14"/>
        <v>7.5900129637338054E-2</v>
      </c>
    </row>
    <row r="18" spans="1:22" x14ac:dyDescent="0.2">
      <c r="A18" t="s">
        <v>14</v>
      </c>
      <c r="B18" s="4">
        <v>3.2</v>
      </c>
      <c r="C18" s="1">
        <f t="shared" si="6"/>
        <v>4.8166378315169185</v>
      </c>
      <c r="D18" s="1">
        <f t="shared" si="6"/>
        <v>4.3863424398922621</v>
      </c>
      <c r="E18" s="1">
        <f t="shared" si="6"/>
        <v>3.7735924528226419</v>
      </c>
      <c r="F18" s="4">
        <v>3</v>
      </c>
      <c r="G18" s="1">
        <f t="shared" si="7"/>
        <v>4.6861498055439927</v>
      </c>
      <c r="H18" s="1">
        <f t="shared" si="1"/>
        <v>4.2426406871192848</v>
      </c>
      <c r="I18" s="1">
        <f t="shared" si="1"/>
        <v>3.6055512754639891</v>
      </c>
      <c r="J18" s="4">
        <v>3.25</v>
      </c>
      <c r="K18" s="1">
        <f t="shared" si="2"/>
        <v>4.6500000000000004</v>
      </c>
      <c r="L18" s="1">
        <f t="shared" si="2"/>
        <v>4.25</v>
      </c>
      <c r="M18" s="9">
        <f t="shared" si="2"/>
        <v>3.65</v>
      </c>
      <c r="N18" s="11">
        <f t="shared" si="3"/>
        <v>4.9999999999999822E-2</v>
      </c>
      <c r="O18" s="1">
        <f t="shared" si="8"/>
        <v>-0.16663783151691813</v>
      </c>
      <c r="P18" s="1">
        <f t="shared" si="9"/>
        <v>-0.13634243989226214</v>
      </c>
      <c r="Q18" s="1">
        <f t="shared" si="10"/>
        <v>-0.12359245282264197</v>
      </c>
      <c r="R18" s="11">
        <f t="shared" si="11"/>
        <v>0.25</v>
      </c>
      <c r="S18" s="1">
        <f t="shared" si="12"/>
        <v>-3.6149805543992386E-2</v>
      </c>
      <c r="T18" s="1">
        <f t="shared" si="13"/>
        <v>7.3593128807152297E-3</v>
      </c>
      <c r="U18" s="9">
        <f t="shared" si="14"/>
        <v>4.4448724536010786E-2</v>
      </c>
    </row>
    <row r="19" spans="1:22" x14ac:dyDescent="0.2">
      <c r="A19" t="s">
        <v>15</v>
      </c>
      <c r="B19" s="4">
        <v>4</v>
      </c>
      <c r="C19" s="1">
        <f t="shared" si="6"/>
        <v>5.3814496188294845</v>
      </c>
      <c r="D19" s="1">
        <f t="shared" si="6"/>
        <v>5</v>
      </c>
      <c r="E19" s="1">
        <f t="shared" si="6"/>
        <v>4.4721359549995796</v>
      </c>
      <c r="F19" s="4">
        <v>4</v>
      </c>
      <c r="G19" s="1">
        <f t="shared" si="7"/>
        <v>5.3814496188294845</v>
      </c>
      <c r="H19" s="1">
        <f t="shared" si="1"/>
        <v>5</v>
      </c>
      <c r="I19" s="1">
        <f t="shared" si="1"/>
        <v>4.4721359549995796</v>
      </c>
      <c r="J19" s="4">
        <v>4</v>
      </c>
      <c r="K19" s="1">
        <f t="shared" si="2"/>
        <v>5.4</v>
      </c>
      <c r="L19" s="1">
        <f t="shared" si="2"/>
        <v>5</v>
      </c>
      <c r="M19" s="9">
        <f t="shared" si="2"/>
        <v>4.4000000000000004</v>
      </c>
      <c r="N19" s="11">
        <f t="shared" si="3"/>
        <v>0</v>
      </c>
      <c r="O19" s="1">
        <f t="shared" si="8"/>
        <v>1.8550381170515884E-2</v>
      </c>
      <c r="P19" s="1">
        <f t="shared" si="9"/>
        <v>0</v>
      </c>
      <c r="Q19" s="1">
        <f t="shared" si="10"/>
        <v>-7.2135954999579255E-2</v>
      </c>
      <c r="R19" s="11">
        <f t="shared" si="11"/>
        <v>0</v>
      </c>
      <c r="S19" s="1">
        <f t="shared" si="12"/>
        <v>1.8550381170515884E-2</v>
      </c>
      <c r="T19" s="1">
        <f t="shared" si="13"/>
        <v>0</v>
      </c>
      <c r="U19" s="9">
        <f t="shared" si="14"/>
        <v>-7.2135954999579255E-2</v>
      </c>
    </row>
    <row r="20" spans="1:22" x14ac:dyDescent="0.2">
      <c r="A20" t="s">
        <v>16</v>
      </c>
      <c r="B20" s="4">
        <v>4</v>
      </c>
      <c r="C20" s="1">
        <f t="shared" si="6"/>
        <v>5.3814496188294845</v>
      </c>
      <c r="D20" s="1">
        <f t="shared" si="6"/>
        <v>5</v>
      </c>
      <c r="E20" s="1">
        <f t="shared" si="6"/>
        <v>4.4721359549995796</v>
      </c>
      <c r="F20" s="4">
        <v>4</v>
      </c>
      <c r="G20" s="1">
        <f t="shared" si="7"/>
        <v>5.3814496188294845</v>
      </c>
      <c r="H20" s="1">
        <f t="shared" si="1"/>
        <v>5</v>
      </c>
      <c r="I20" s="1">
        <f t="shared" si="1"/>
        <v>4.4721359549995796</v>
      </c>
      <c r="J20" s="4">
        <v>4</v>
      </c>
      <c r="K20" s="1">
        <f t="shared" si="2"/>
        <v>5.4</v>
      </c>
      <c r="L20" s="1">
        <f t="shared" si="2"/>
        <v>5</v>
      </c>
      <c r="M20" s="9">
        <f t="shared" si="2"/>
        <v>4.4000000000000004</v>
      </c>
      <c r="N20" s="11">
        <f t="shared" si="3"/>
        <v>0</v>
      </c>
      <c r="O20" s="1">
        <f t="shared" si="8"/>
        <v>1.8550381170515884E-2</v>
      </c>
      <c r="P20" s="1">
        <f t="shared" si="9"/>
        <v>0</v>
      </c>
      <c r="Q20" s="1">
        <f t="shared" si="10"/>
        <v>-7.2135954999579255E-2</v>
      </c>
      <c r="R20" s="11">
        <f t="shared" si="11"/>
        <v>0</v>
      </c>
      <c r="S20" s="1">
        <f t="shared" si="12"/>
        <v>1.8550381170515884E-2</v>
      </c>
      <c r="T20" s="1">
        <f t="shared" si="13"/>
        <v>0</v>
      </c>
      <c r="U20" s="9">
        <f t="shared" si="14"/>
        <v>-7.2135954999579255E-2</v>
      </c>
    </row>
    <row r="21" spans="1:22" x14ac:dyDescent="0.2">
      <c r="A21" t="s">
        <v>17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4</v>
      </c>
      <c r="K21" s="1">
        <f t="shared" si="2"/>
        <v>5.4</v>
      </c>
      <c r="L21" s="1">
        <f t="shared" si="2"/>
        <v>5</v>
      </c>
      <c r="M21" s="9">
        <f t="shared" si="2"/>
        <v>4.4000000000000004</v>
      </c>
      <c r="N21" s="11">
        <f t="shared" si="3"/>
        <v>0</v>
      </c>
      <c r="O21" s="1">
        <f t="shared" si="8"/>
        <v>1.8550381170515884E-2</v>
      </c>
      <c r="P21" s="1">
        <f t="shared" si="9"/>
        <v>0</v>
      </c>
      <c r="Q21" s="1">
        <f t="shared" si="10"/>
        <v>-7.2135954999579255E-2</v>
      </c>
      <c r="R21" s="11">
        <f t="shared" si="11"/>
        <v>0</v>
      </c>
      <c r="S21" s="1">
        <f t="shared" si="12"/>
        <v>1.8550381170515884E-2</v>
      </c>
      <c r="T21" s="1">
        <f t="shared" si="13"/>
        <v>0</v>
      </c>
      <c r="U21" s="9">
        <f t="shared" si="14"/>
        <v>-7.2135954999579255E-2</v>
      </c>
    </row>
    <row r="22" spans="1:22" x14ac:dyDescent="0.2">
      <c r="A22" t="s">
        <v>18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4</v>
      </c>
      <c r="K22" s="1">
        <f t="shared" si="2"/>
        <v>5.4</v>
      </c>
      <c r="L22" s="1">
        <f t="shared" si="2"/>
        <v>5</v>
      </c>
      <c r="M22" s="9">
        <f t="shared" si="2"/>
        <v>4.4000000000000004</v>
      </c>
      <c r="N22" s="11">
        <f t="shared" si="3"/>
        <v>0</v>
      </c>
      <c r="O22" s="1">
        <f t="shared" si="8"/>
        <v>1.8550381170515884E-2</v>
      </c>
      <c r="P22" s="1">
        <f t="shared" si="9"/>
        <v>0</v>
      </c>
      <c r="Q22" s="1">
        <f t="shared" si="10"/>
        <v>-7.2135954999579255E-2</v>
      </c>
      <c r="R22" s="11">
        <f t="shared" si="11"/>
        <v>0</v>
      </c>
      <c r="S22" s="1">
        <f t="shared" si="12"/>
        <v>1.8550381170515884E-2</v>
      </c>
      <c r="T22" s="1">
        <f t="shared" si="13"/>
        <v>0</v>
      </c>
      <c r="U22" s="9">
        <f t="shared" si="14"/>
        <v>-7.2135954999579255E-2</v>
      </c>
    </row>
    <row r="23" spans="1:22" x14ac:dyDescent="0.2">
      <c r="A23" t="s">
        <v>19</v>
      </c>
      <c r="B23" s="4">
        <v>8</v>
      </c>
      <c r="C23" s="1">
        <f t="shared" si="6"/>
        <v>8.7726848797845243</v>
      </c>
      <c r="D23" s="1">
        <f t="shared" si="6"/>
        <v>8.5440037453175304</v>
      </c>
      <c r="E23" s="1">
        <f t="shared" si="6"/>
        <v>8.2462112512353212</v>
      </c>
      <c r="F23" s="4">
        <v>8.5</v>
      </c>
      <c r="G23" s="1">
        <f t="shared" si="7"/>
        <v>9.2309262807152788</v>
      </c>
      <c r="H23" s="1">
        <f t="shared" si="7"/>
        <v>9.013878188659973</v>
      </c>
      <c r="I23" s="1">
        <f t="shared" si="7"/>
        <v>8.7321245982864895</v>
      </c>
      <c r="J23" s="4">
        <v>8</v>
      </c>
      <c r="K23" s="1">
        <f t="shared" si="2"/>
        <v>9.4</v>
      </c>
      <c r="L23" s="1">
        <f t="shared" si="2"/>
        <v>9</v>
      </c>
      <c r="M23" s="9">
        <f t="shared" si="2"/>
        <v>8.4</v>
      </c>
      <c r="N23" s="11">
        <f t="shared" si="3"/>
        <v>0</v>
      </c>
      <c r="O23" s="1">
        <f t="shared" si="8"/>
        <v>0.62731512021547609</v>
      </c>
      <c r="P23" s="1">
        <f t="shared" si="9"/>
        <v>0.45599625468246963</v>
      </c>
      <c r="Q23" s="1">
        <f t="shared" si="10"/>
        <v>0.15378874876467918</v>
      </c>
      <c r="R23" s="11">
        <f t="shared" si="11"/>
        <v>-0.5</v>
      </c>
      <c r="S23" s="1">
        <f t="shared" si="12"/>
        <v>0.16907371928472159</v>
      </c>
      <c r="T23" s="1">
        <f t="shared" si="13"/>
        <v>-1.3878188659973034E-2</v>
      </c>
      <c r="U23" s="9">
        <f t="shared" si="14"/>
        <v>-0.3321245982864891</v>
      </c>
    </row>
    <row r="24" spans="1:22" x14ac:dyDescent="0.2">
      <c r="A24" t="s">
        <v>20</v>
      </c>
      <c r="B24" s="4">
        <v>5</v>
      </c>
      <c r="C24" s="1">
        <f t="shared" si="6"/>
        <v>6.1611687202997452</v>
      </c>
      <c r="D24" s="1">
        <f t="shared" si="6"/>
        <v>5.8309518948453007</v>
      </c>
      <c r="E24" s="1">
        <f t="shared" si="6"/>
        <v>5.3851648071345037</v>
      </c>
      <c r="F24" s="4">
        <v>6</v>
      </c>
      <c r="G24" s="1">
        <f t="shared" si="7"/>
        <v>6.9971422738143607</v>
      </c>
      <c r="H24" s="1">
        <f t="shared" si="7"/>
        <v>6.7082039324993694</v>
      </c>
      <c r="I24" s="1">
        <f t="shared" si="7"/>
        <v>6.324555320336759</v>
      </c>
      <c r="J24" s="4">
        <v>5.7</v>
      </c>
      <c r="K24" s="1">
        <f t="shared" si="2"/>
        <v>7.1</v>
      </c>
      <c r="L24" s="1">
        <f t="shared" si="2"/>
        <v>6.7</v>
      </c>
      <c r="M24" s="9">
        <f t="shared" si="2"/>
        <v>6.1000000000000005</v>
      </c>
      <c r="N24" s="11">
        <f t="shared" si="3"/>
        <v>0.70000000000000018</v>
      </c>
      <c r="O24" s="1">
        <f t="shared" si="8"/>
        <v>0.93883127970025448</v>
      </c>
      <c r="P24" s="1">
        <f t="shared" si="9"/>
        <v>0.86904810515469944</v>
      </c>
      <c r="Q24" s="1">
        <f t="shared" si="10"/>
        <v>0.71483519286549679</v>
      </c>
      <c r="R24" s="11">
        <f t="shared" si="11"/>
        <v>-0.29999999999999982</v>
      </c>
      <c r="S24" s="1">
        <f t="shared" si="12"/>
        <v>0.10285772618563893</v>
      </c>
      <c r="T24" s="1">
        <f t="shared" si="13"/>
        <v>-8.2039324993692375E-3</v>
      </c>
      <c r="U24" s="9">
        <f t="shared" si="14"/>
        <v>-0.22455532033675851</v>
      </c>
    </row>
    <row r="25" spans="1:22" x14ac:dyDescent="0.2">
      <c r="A25" t="s">
        <v>21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8</v>
      </c>
      <c r="K25" s="1">
        <f t="shared" si="2"/>
        <v>9.4</v>
      </c>
      <c r="L25" s="1">
        <f t="shared" si="2"/>
        <v>9</v>
      </c>
      <c r="M25" s="9">
        <f t="shared" si="2"/>
        <v>8.4</v>
      </c>
      <c r="N25" s="11">
        <f t="shared" si="3"/>
        <v>0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0.15378874876467918</v>
      </c>
      <c r="R25" s="11">
        <f t="shared" si="11"/>
        <v>-0.5</v>
      </c>
      <c r="S25" s="1">
        <f t="shared" si="12"/>
        <v>0.16907371928472159</v>
      </c>
      <c r="T25" s="1">
        <f t="shared" si="13"/>
        <v>-1.3878188659973034E-2</v>
      </c>
      <c r="U25" s="9">
        <f t="shared" si="14"/>
        <v>-0.3321245982864891</v>
      </c>
    </row>
    <row r="26" spans="1:22" x14ac:dyDescent="0.2">
      <c r="A26" t="s">
        <v>22</v>
      </c>
      <c r="B26" s="4">
        <v>8</v>
      </c>
      <c r="C26" s="1">
        <f t="shared" si="6"/>
        <v>8.7726848797845243</v>
      </c>
      <c r="D26" s="1">
        <f t="shared" si="6"/>
        <v>8.5440037453175304</v>
      </c>
      <c r="E26" s="1">
        <f t="shared" si="6"/>
        <v>8.2462112512353212</v>
      </c>
      <c r="F26" s="4">
        <v>8.5</v>
      </c>
      <c r="G26" s="1">
        <f t="shared" si="7"/>
        <v>9.2309262807152788</v>
      </c>
      <c r="H26" s="1">
        <f t="shared" si="7"/>
        <v>9.013878188659973</v>
      </c>
      <c r="I26" s="1">
        <f t="shared" si="7"/>
        <v>8.7321245982864895</v>
      </c>
      <c r="J26" s="4">
        <v>8</v>
      </c>
      <c r="K26" s="1">
        <f t="shared" si="2"/>
        <v>9.4</v>
      </c>
      <c r="L26" s="1">
        <f t="shared" si="2"/>
        <v>9</v>
      </c>
      <c r="M26" s="9">
        <f t="shared" si="2"/>
        <v>8.4</v>
      </c>
      <c r="N26" s="11">
        <f t="shared" si="3"/>
        <v>0</v>
      </c>
      <c r="O26" s="1">
        <f t="shared" si="8"/>
        <v>0.62731512021547609</v>
      </c>
      <c r="P26" s="1">
        <f t="shared" si="9"/>
        <v>0.45599625468246963</v>
      </c>
      <c r="Q26" s="1">
        <f t="shared" si="10"/>
        <v>0.15378874876467918</v>
      </c>
      <c r="R26" s="11">
        <f t="shared" si="11"/>
        <v>-0.5</v>
      </c>
      <c r="S26" s="1">
        <f t="shared" si="12"/>
        <v>0.16907371928472159</v>
      </c>
      <c r="T26" s="1">
        <f t="shared" si="13"/>
        <v>-1.3878188659973034E-2</v>
      </c>
      <c r="U26" s="9">
        <f t="shared" si="14"/>
        <v>-0.3321245982864891</v>
      </c>
    </row>
    <row r="27" spans="1:22" x14ac:dyDescent="0.2">
      <c r="A27" t="s">
        <v>23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11</v>
      </c>
      <c r="G27" s="1">
        <f t="shared" si="7"/>
        <v>11.574109036984229</v>
      </c>
      <c r="H27" s="1">
        <f t="shared" si="7"/>
        <v>11.401754250991379</v>
      </c>
      <c r="I27" s="1">
        <f t="shared" si="7"/>
        <v>11.180339887498949</v>
      </c>
      <c r="J27" s="4">
        <v>10.4</v>
      </c>
      <c r="K27" s="1">
        <f t="shared" si="2"/>
        <v>11.8</v>
      </c>
      <c r="L27" s="1">
        <f t="shared" si="2"/>
        <v>11.4</v>
      </c>
      <c r="M27" s="9">
        <f t="shared" si="2"/>
        <v>10.8</v>
      </c>
      <c r="N27" s="11">
        <f t="shared" si="3"/>
        <v>2.4000000000000004</v>
      </c>
      <c r="O27" s="1">
        <f t="shared" si="8"/>
        <v>3.0273151202154764</v>
      </c>
      <c r="P27" s="1">
        <f t="shared" si="9"/>
        <v>2.85599625468247</v>
      </c>
      <c r="Q27" s="1">
        <f t="shared" si="10"/>
        <v>2.5537887487646795</v>
      </c>
      <c r="R27" s="11">
        <f t="shared" si="11"/>
        <v>-0.59999999999999964</v>
      </c>
      <c r="S27" s="1">
        <f t="shared" si="12"/>
        <v>0.22589096301577172</v>
      </c>
      <c r="T27" s="1">
        <f t="shared" si="13"/>
        <v>-1.7542509913788251E-3</v>
      </c>
      <c r="U27" s="9">
        <f t="shared" si="14"/>
        <v>-0.38033988749894831</v>
      </c>
    </row>
    <row r="28" spans="1:22" x14ac:dyDescent="0.2">
      <c r="A28" t="s">
        <v>24</v>
      </c>
      <c r="B28" s="4">
        <v>16</v>
      </c>
      <c r="C28" s="1">
        <f t="shared" si="6"/>
        <v>16.399999999999999</v>
      </c>
      <c r="D28" s="1">
        <f t="shared" si="6"/>
        <v>16.278820596099706</v>
      </c>
      <c r="E28" s="1">
        <f t="shared" si="6"/>
        <v>16.124515496597098</v>
      </c>
      <c r="F28" s="4">
        <v>15.7</v>
      </c>
      <c r="G28" s="1">
        <f t="shared" si="7"/>
        <v>16.107451691686055</v>
      </c>
      <c r="H28" s="1">
        <f t="shared" si="7"/>
        <v>15.984054554461455</v>
      </c>
      <c r="I28" s="1">
        <f t="shared" si="7"/>
        <v>15.826875876179733</v>
      </c>
      <c r="J28" s="4">
        <v>15</v>
      </c>
      <c r="K28" s="1">
        <f t="shared" si="2"/>
        <v>16.399999999999999</v>
      </c>
      <c r="L28" s="1">
        <f t="shared" si="2"/>
        <v>16</v>
      </c>
      <c r="M28" s="9">
        <f t="shared" si="2"/>
        <v>15.4</v>
      </c>
      <c r="N28" s="11">
        <f t="shared" si="3"/>
        <v>-1</v>
      </c>
      <c r="O28" s="1">
        <f t="shared" si="8"/>
        <v>0</v>
      </c>
      <c r="P28" s="1">
        <f t="shared" si="9"/>
        <v>-0.27882059609970611</v>
      </c>
      <c r="Q28" s="1">
        <f t="shared" si="10"/>
        <v>-0.72451549659709791</v>
      </c>
      <c r="R28" s="11">
        <f t="shared" si="11"/>
        <v>-0.69999999999999929</v>
      </c>
      <c r="S28" s="1">
        <f t="shared" si="12"/>
        <v>0.29254830831394329</v>
      </c>
      <c r="T28" s="1">
        <f t="shared" si="13"/>
        <v>1.5945445538545044E-2</v>
      </c>
      <c r="U28" s="9">
        <f t="shared" si="14"/>
        <v>-0.42687587617973222</v>
      </c>
    </row>
    <row r="29" spans="1:22" x14ac:dyDescent="0.2">
      <c r="A29" t="s">
        <v>25</v>
      </c>
      <c r="B29" s="4">
        <v>3</v>
      </c>
      <c r="C29" s="1">
        <f t="shared" si="6"/>
        <v>4.6861498055439927</v>
      </c>
      <c r="D29" s="1">
        <f t="shared" si="6"/>
        <v>4.2426406871192848</v>
      </c>
      <c r="E29" s="1">
        <f t="shared" si="6"/>
        <v>3.6055512754639891</v>
      </c>
      <c r="F29" s="4">
        <v>3</v>
      </c>
      <c r="G29" s="1">
        <f t="shared" si="7"/>
        <v>4.6861498055439927</v>
      </c>
      <c r="H29" s="1">
        <f t="shared" si="7"/>
        <v>4.2426406871192848</v>
      </c>
      <c r="I29" s="1">
        <f t="shared" si="7"/>
        <v>3.6055512754639891</v>
      </c>
      <c r="J29" s="4">
        <v>3.25</v>
      </c>
      <c r="K29" s="1">
        <f t="shared" si="2"/>
        <v>4.6500000000000004</v>
      </c>
      <c r="L29" s="1">
        <f t="shared" si="2"/>
        <v>4.25</v>
      </c>
      <c r="M29" s="9">
        <f t="shared" si="2"/>
        <v>3.65</v>
      </c>
      <c r="N29" s="11">
        <f t="shared" si="3"/>
        <v>0.25</v>
      </c>
      <c r="O29" s="1">
        <f t="shared" si="8"/>
        <v>-3.6149805543992386E-2</v>
      </c>
      <c r="P29" s="1">
        <f t="shared" si="9"/>
        <v>7.3593128807152297E-3</v>
      </c>
      <c r="Q29" s="1">
        <f t="shared" si="10"/>
        <v>4.4448724536010786E-2</v>
      </c>
      <c r="R29" s="11">
        <f t="shared" si="11"/>
        <v>0.25</v>
      </c>
      <c r="S29" s="1">
        <f t="shared" si="12"/>
        <v>-3.6149805543992386E-2</v>
      </c>
      <c r="T29" s="1">
        <f t="shared" si="13"/>
        <v>7.3593128807152297E-3</v>
      </c>
      <c r="U29" s="9">
        <f t="shared" si="14"/>
        <v>4.4448724536010786E-2</v>
      </c>
    </row>
    <row r="30" spans="1:22" x14ac:dyDescent="0.2">
      <c r="A30" t="s">
        <v>26</v>
      </c>
      <c r="B30" s="4">
        <v>3</v>
      </c>
      <c r="C30" s="1">
        <f t="shared" si="6"/>
        <v>4.6861498055439927</v>
      </c>
      <c r="D30" s="1">
        <f t="shared" si="6"/>
        <v>4.2426406871192848</v>
      </c>
      <c r="E30" s="1">
        <f t="shared" si="6"/>
        <v>3.6055512754639891</v>
      </c>
      <c r="F30" s="4">
        <v>3</v>
      </c>
      <c r="G30" s="1">
        <f t="shared" si="7"/>
        <v>4.6861498055439927</v>
      </c>
      <c r="H30" s="1">
        <f t="shared" si="7"/>
        <v>4.2426406871192848</v>
      </c>
      <c r="I30" s="1">
        <f t="shared" si="7"/>
        <v>3.6055512754639891</v>
      </c>
      <c r="J30" s="4">
        <v>3.25</v>
      </c>
      <c r="K30" s="1">
        <f t="shared" si="2"/>
        <v>4.6500000000000004</v>
      </c>
      <c r="L30" s="1">
        <f t="shared" si="2"/>
        <v>4.25</v>
      </c>
      <c r="M30" s="9">
        <f t="shared" si="2"/>
        <v>3.65</v>
      </c>
      <c r="N30" s="11">
        <f t="shared" si="3"/>
        <v>0.25</v>
      </c>
      <c r="O30" s="1">
        <f t="shared" si="8"/>
        <v>-3.6149805543992386E-2</v>
      </c>
      <c r="P30" s="1">
        <f t="shared" si="9"/>
        <v>7.3593128807152297E-3</v>
      </c>
      <c r="Q30" s="1">
        <f t="shared" si="10"/>
        <v>4.4448724536010786E-2</v>
      </c>
      <c r="R30" s="11">
        <f t="shared" si="11"/>
        <v>0.25</v>
      </c>
      <c r="S30" s="1">
        <f t="shared" si="12"/>
        <v>-3.6149805543992386E-2</v>
      </c>
      <c r="T30" s="1">
        <f t="shared" si="13"/>
        <v>7.3593128807152297E-3</v>
      </c>
      <c r="U30" s="9">
        <f t="shared" si="14"/>
        <v>4.4448724536010786E-2</v>
      </c>
    </row>
    <row r="31" spans="1:22" x14ac:dyDescent="0.2">
      <c r="A31" t="s">
        <v>27</v>
      </c>
      <c r="B31" s="4">
        <v>4</v>
      </c>
      <c r="C31" s="1">
        <f t="shared" si="6"/>
        <v>5.3814496188294845</v>
      </c>
      <c r="D31" s="1">
        <f t="shared" si="6"/>
        <v>5</v>
      </c>
      <c r="E31" s="1">
        <f t="shared" si="6"/>
        <v>4.4721359549995796</v>
      </c>
      <c r="F31" s="4">
        <v>4</v>
      </c>
      <c r="G31" s="1">
        <f t="shared" si="7"/>
        <v>5.3814496188294845</v>
      </c>
      <c r="H31" s="1">
        <f t="shared" si="7"/>
        <v>5</v>
      </c>
      <c r="I31" s="1">
        <f t="shared" si="7"/>
        <v>4.4721359549995796</v>
      </c>
      <c r="J31" s="4">
        <v>4</v>
      </c>
      <c r="K31" s="1">
        <f t="shared" si="2"/>
        <v>5.4</v>
      </c>
      <c r="L31" s="1">
        <f t="shared" si="2"/>
        <v>5</v>
      </c>
      <c r="M31" s="9">
        <f t="shared" si="2"/>
        <v>4.4000000000000004</v>
      </c>
      <c r="N31" s="11">
        <f t="shared" si="3"/>
        <v>0</v>
      </c>
      <c r="O31" s="1">
        <f t="shared" si="8"/>
        <v>1.8550381170515884E-2</v>
      </c>
      <c r="P31" s="1">
        <f t="shared" si="9"/>
        <v>0</v>
      </c>
      <c r="Q31" s="1">
        <f t="shared" si="10"/>
        <v>-7.2135954999579255E-2</v>
      </c>
      <c r="R31" s="11">
        <f t="shared" si="11"/>
        <v>0</v>
      </c>
      <c r="S31" s="1">
        <f t="shared" si="12"/>
        <v>1.8550381170515884E-2</v>
      </c>
      <c r="T31" s="1">
        <f t="shared" si="13"/>
        <v>0</v>
      </c>
      <c r="U31" s="9">
        <f t="shared" si="14"/>
        <v>-7.2135954999579255E-2</v>
      </c>
    </row>
    <row r="32" spans="1:22" x14ac:dyDescent="0.2">
      <c r="A32" t="s">
        <v>28</v>
      </c>
      <c r="B32" s="4">
        <v>2</v>
      </c>
      <c r="C32" s="1">
        <f t="shared" si="6"/>
        <v>4.1182520563948</v>
      </c>
      <c r="D32" s="1">
        <f t="shared" si="6"/>
        <v>3.6055512754639891</v>
      </c>
      <c r="E32" s="1">
        <f t="shared" si="6"/>
        <v>2.8284271247461903</v>
      </c>
      <c r="F32" s="4"/>
      <c r="G32" s="1"/>
      <c r="H32" s="1"/>
      <c r="I32" s="1"/>
      <c r="J32" s="4"/>
      <c r="K32" s="1"/>
      <c r="L32" s="1"/>
      <c r="M32" s="9"/>
      <c r="N32" s="11"/>
      <c r="O32" s="1"/>
      <c r="P32" s="1"/>
      <c r="Q32" s="1"/>
      <c r="R32" s="11"/>
      <c r="S32" s="1"/>
      <c r="T32" s="1"/>
      <c r="U32" s="9"/>
      <c r="V32" t="s">
        <v>41</v>
      </c>
    </row>
    <row r="33" spans="1:22" x14ac:dyDescent="0.2">
      <c r="A33" t="s">
        <v>29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4</v>
      </c>
      <c r="K33" s="1">
        <f t="shared" ref="K33:M36" si="15">$J33+K$6</f>
        <v>5.4</v>
      </c>
      <c r="L33" s="1">
        <f t="shared" si="15"/>
        <v>5</v>
      </c>
      <c r="M33" s="9">
        <f t="shared" si="15"/>
        <v>4.4000000000000004</v>
      </c>
      <c r="N33" s="11">
        <f>$J33-$B33</f>
        <v>0</v>
      </c>
      <c r="O33" s="1">
        <f t="shared" si="8"/>
        <v>1.8550381170515884E-2</v>
      </c>
      <c r="P33" s="1">
        <f t="shared" si="9"/>
        <v>0</v>
      </c>
      <c r="Q33" s="1">
        <f t="shared" si="10"/>
        <v>-7.2135954999579255E-2</v>
      </c>
      <c r="R33" s="11">
        <f t="shared" si="11"/>
        <v>0</v>
      </c>
      <c r="S33" s="1">
        <f t="shared" si="12"/>
        <v>1.8550381170515884E-2</v>
      </c>
      <c r="T33" s="1">
        <f t="shared" si="13"/>
        <v>0</v>
      </c>
      <c r="U33" s="9">
        <f t="shared" si="14"/>
        <v>-7.2135954999579255E-2</v>
      </c>
    </row>
    <row r="34" spans="1:22" x14ac:dyDescent="0.2">
      <c r="A34" t="s">
        <v>30</v>
      </c>
      <c r="B34" s="4">
        <v>4</v>
      </c>
      <c r="C34" s="1">
        <f t="shared" si="6"/>
        <v>5.3814496188294845</v>
      </c>
      <c r="D34" s="1">
        <f t="shared" si="6"/>
        <v>5</v>
      </c>
      <c r="E34" s="1">
        <f t="shared" si="6"/>
        <v>4.4721359549995796</v>
      </c>
      <c r="F34" s="4">
        <v>4</v>
      </c>
      <c r="G34" s="1">
        <f t="shared" si="7"/>
        <v>5.3814496188294845</v>
      </c>
      <c r="H34" s="1">
        <f t="shared" si="7"/>
        <v>5</v>
      </c>
      <c r="I34" s="1">
        <f t="shared" si="7"/>
        <v>4.4721359549995796</v>
      </c>
      <c r="J34" s="4">
        <v>4</v>
      </c>
      <c r="K34" s="1">
        <f t="shared" si="15"/>
        <v>5.4</v>
      </c>
      <c r="L34" s="1">
        <f t="shared" si="15"/>
        <v>5</v>
      </c>
      <c r="M34" s="9">
        <f t="shared" si="15"/>
        <v>4.4000000000000004</v>
      </c>
      <c r="N34" s="11">
        <f>$J34-$B34</f>
        <v>0</v>
      </c>
      <c r="O34" s="1">
        <f t="shared" si="8"/>
        <v>1.8550381170515884E-2</v>
      </c>
      <c r="P34" s="1">
        <f t="shared" si="9"/>
        <v>0</v>
      </c>
      <c r="Q34" s="1">
        <f t="shared" si="10"/>
        <v>-7.2135954999579255E-2</v>
      </c>
      <c r="R34" s="11">
        <f t="shared" si="11"/>
        <v>0</v>
      </c>
      <c r="S34" s="1">
        <f t="shared" si="12"/>
        <v>1.8550381170515884E-2</v>
      </c>
      <c r="T34" s="1">
        <f t="shared" si="13"/>
        <v>0</v>
      </c>
      <c r="U34" s="9">
        <f t="shared" si="14"/>
        <v>-7.2135954999579255E-2</v>
      </c>
    </row>
    <row r="35" spans="1:22" x14ac:dyDescent="0.2">
      <c r="A35" t="s">
        <v>31</v>
      </c>
      <c r="B35" s="4">
        <v>6</v>
      </c>
      <c r="C35" s="1">
        <f t="shared" si="6"/>
        <v>6.9971422738143607</v>
      </c>
      <c r="D35" s="1">
        <f t="shared" si="6"/>
        <v>6.7082039324993694</v>
      </c>
      <c r="E35" s="1">
        <f t="shared" si="6"/>
        <v>6.324555320336759</v>
      </c>
      <c r="F35" s="4">
        <v>6</v>
      </c>
      <c r="G35" s="1">
        <f t="shared" si="7"/>
        <v>6.9971422738143607</v>
      </c>
      <c r="H35" s="1">
        <f t="shared" si="7"/>
        <v>6.7082039324993694</v>
      </c>
      <c r="I35" s="1">
        <f t="shared" si="7"/>
        <v>6.324555320336759</v>
      </c>
      <c r="J35" s="4">
        <v>5.7</v>
      </c>
      <c r="K35" s="1">
        <f t="shared" si="15"/>
        <v>7.1</v>
      </c>
      <c r="L35" s="1">
        <f t="shared" si="15"/>
        <v>6.7</v>
      </c>
      <c r="M35" s="9">
        <f t="shared" si="15"/>
        <v>6.1000000000000005</v>
      </c>
      <c r="N35" s="11">
        <f>$J35-$B35</f>
        <v>-0.29999999999999982</v>
      </c>
      <c r="O35" s="1">
        <f t="shared" si="8"/>
        <v>0.10285772618563893</v>
      </c>
      <c r="P35" s="1">
        <f t="shared" si="9"/>
        <v>-8.2039324993692375E-3</v>
      </c>
      <c r="Q35" s="1">
        <f t="shared" si="10"/>
        <v>-0.22455532033675851</v>
      </c>
      <c r="R35" s="11">
        <f t="shared" si="11"/>
        <v>-0.29999999999999982</v>
      </c>
      <c r="S35" s="1">
        <f t="shared" si="12"/>
        <v>0.10285772618563893</v>
      </c>
      <c r="T35" s="1">
        <f t="shared" si="13"/>
        <v>-8.2039324993692375E-3</v>
      </c>
      <c r="U35" s="9">
        <f t="shared" si="14"/>
        <v>-0.22455532033675851</v>
      </c>
    </row>
    <row r="36" spans="1:22" x14ac:dyDescent="0.2">
      <c r="A36" t="s">
        <v>32</v>
      </c>
      <c r="B36" s="4"/>
      <c r="C36" s="1"/>
      <c r="D36" s="1"/>
      <c r="E36" s="1"/>
      <c r="F36" s="4">
        <v>47.4</v>
      </c>
      <c r="G36" s="1">
        <f t="shared" si="7"/>
        <v>47.536512282665413</v>
      </c>
      <c r="H36" s="1">
        <f t="shared" si="7"/>
        <v>47.494841825191919</v>
      </c>
      <c r="I36" s="1">
        <f t="shared" si="7"/>
        <v>47.442175329552498</v>
      </c>
      <c r="J36" s="4">
        <v>46.5</v>
      </c>
      <c r="K36" s="1">
        <f t="shared" si="15"/>
        <v>47.9</v>
      </c>
      <c r="L36" s="1">
        <f t="shared" si="15"/>
        <v>47.5</v>
      </c>
      <c r="M36" s="9">
        <f t="shared" si="15"/>
        <v>46.9</v>
      </c>
      <c r="N36" s="11"/>
      <c r="O36" s="1"/>
      <c r="P36" s="1"/>
      <c r="Q36" s="9"/>
      <c r="R36" s="11">
        <f t="shared" si="11"/>
        <v>-0.89999999999999858</v>
      </c>
      <c r="S36" s="1">
        <f t="shared" si="12"/>
        <v>0.36348771733458562</v>
      </c>
      <c r="T36" s="1">
        <f t="shared" si="13"/>
        <v>5.1581748080806733E-3</v>
      </c>
      <c r="U36" s="9">
        <f t="shared" si="14"/>
        <v>-0.54217532955249936</v>
      </c>
      <c r="V36" t="s">
        <v>35</v>
      </c>
    </row>
    <row r="37" spans="1:22" x14ac:dyDescent="0.2">
      <c r="B37" s="5"/>
      <c r="F37" s="5"/>
      <c r="J37" s="5"/>
      <c r="M37" s="3"/>
      <c r="N37" s="5"/>
      <c r="Q37" s="3"/>
      <c r="R37" s="5"/>
      <c r="U37" s="3"/>
    </row>
    <row r="38" spans="1:22" x14ac:dyDescent="0.2">
      <c r="B38" s="5"/>
      <c r="F38" s="5"/>
      <c r="J38" s="5"/>
      <c r="M38" s="3"/>
      <c r="N38" s="5"/>
      <c r="Q38" s="3"/>
      <c r="R38" s="5"/>
      <c r="U38" s="3"/>
    </row>
    <row r="39" spans="1:22" x14ac:dyDescent="0.2">
      <c r="B39" s="5"/>
      <c r="F39" s="5"/>
      <c r="J39" s="5"/>
      <c r="M39" s="3"/>
      <c r="N39" s="5"/>
      <c r="Q39" s="3"/>
      <c r="R39" s="5"/>
      <c r="U39" s="3"/>
    </row>
    <row r="40" spans="1:22" ht="15" thickBot="1" x14ac:dyDescent="0.25">
      <c r="B40" s="6"/>
      <c r="C40" s="7"/>
      <c r="D40" s="7"/>
      <c r="E40" s="7"/>
      <c r="F40" s="6"/>
      <c r="G40" s="7"/>
      <c r="H40" s="7"/>
      <c r="I40" s="7"/>
      <c r="J40" s="6"/>
      <c r="K40" s="7"/>
      <c r="L40" s="7"/>
      <c r="M40" s="8"/>
      <c r="N40" s="6"/>
      <c r="O40" s="7"/>
      <c r="P40" s="7"/>
      <c r="Q40" s="8"/>
      <c r="R40" s="6"/>
      <c r="S40" s="7"/>
      <c r="T40" s="7"/>
      <c r="U40" s="8"/>
    </row>
  </sheetData>
  <mergeCells count="15">
    <mergeCell ref="R4:U4"/>
    <mergeCell ref="S5:U5"/>
    <mergeCell ref="N5:N6"/>
    <mergeCell ref="R5:R6"/>
    <mergeCell ref="N4:Q4"/>
    <mergeCell ref="O5:Q5"/>
    <mergeCell ref="B4:E4"/>
    <mergeCell ref="J4:M4"/>
    <mergeCell ref="F4:I4"/>
    <mergeCell ref="F5:F6"/>
    <mergeCell ref="G5:I5"/>
    <mergeCell ref="B5:B6"/>
    <mergeCell ref="J5:J6"/>
    <mergeCell ref="K5:M5"/>
    <mergeCell ref="C5:E5"/>
  </mergeCells>
  <phoneticPr fontId="1" type="noConversion"/>
  <conditionalFormatting sqref="O7:Q3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7:U3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2026-02-23T06:17:35Z</dcterms:modified>
</cp:coreProperties>
</file>